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208deb33cd3bf2a/Desktop/Data Analyst/Excel ^M AI/Assignments/Third time - Professional (C^MV)/"/>
    </mc:Choice>
  </mc:AlternateContent>
  <xr:revisionPtr revIDLastSave="389" documentId="13_ncr:1_{6A7D2AE8-4013-4942-9E09-2286B943AFFF}" xr6:coauthVersionLast="47" xr6:coauthVersionMax="47" xr10:uidLastSave="{262A1FDC-E226-4337-A2B4-3CAC03066931}"/>
  <bookViews>
    <workbookView xWindow="-110" yWindow="-110" windowWidth="25820" windowHeight="15500" firstSheet="1" activeTab="6" xr2:uid="{00000000-000D-0000-FFFF-FFFF00000000}"/>
  </bookViews>
  <sheets>
    <sheet name="MovieFinancials" sheetId="6" r:id="rId1"/>
    <sheet name="movies" sheetId="1" r:id="rId2"/>
    <sheet name="financials" sheetId="2" r:id="rId3"/>
    <sheet name="actors" sheetId="3" r:id="rId4"/>
    <sheet name="movie_actor" sheetId="4" r:id="rId5"/>
    <sheet name="languages" sheetId="5" r:id="rId6"/>
    <sheet name="Language summary" sheetId="7" r:id="rId7"/>
  </sheets>
  <definedNames>
    <definedName name="ExternalData_1" localSheetId="0" hidden="1">MovieFinancials!$A$1:$R$40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7" l="1"/>
  <c r="D7" i="7"/>
  <c r="D2" i="7"/>
  <c r="D3" i="7"/>
  <c r="D4" i="7"/>
  <c r="D5" i="7"/>
  <c r="D6" i="7"/>
  <c r="D8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T2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S2" i="6"/>
</calcChain>
</file>

<file path=xl/sharedStrings.xml><?xml version="1.0" encoding="utf-8"?>
<sst xmlns="http://schemas.openxmlformats.org/spreadsheetml/2006/main" count="599" uniqueCount="261">
  <si>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</si>
  <si>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</si>
  <si>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</si>
  <si>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</si>
  <si>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</si>
  <si>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</si>
  <si>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</si>
  <si>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</si>
  <si>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</si>
  <si>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</si>
  <si>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</si>
  <si>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</si>
  <si>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</si>
  <si>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</si>
  <si>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</si>
  <si>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</si>
  <si>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</si>
  <si>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</si>
  <si>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</si>
  <si>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</si>
  <si>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</si>
  <si>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</si>
  <si>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</si>
  <si>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</si>
  <si>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</si>
  <si>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</si>
  <si>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</si>
  <si>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</si>
  <si>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</si>
  <si>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</si>
  <si>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</si>
  <si>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</si>
  <si>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</si>
  <si>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</si>
  <si>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</si>
  <si>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</si>
  <si>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</si>
  <si>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</si>
  <si>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</si>
  <si>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</si>
  <si>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</si>
  <si>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</si>
  <si>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</si>
  <si>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</si>
  <si>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</si>
  <si>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</si>
  <si>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</si>
  <si>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</si>
  <si>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</si>
  <si>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</si>
  <si>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</si>
  <si>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</si>
  <si>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</si>
  <si>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</si>
  <si>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</si>
  <si>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</si>
  <si>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</si>
  <si>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</si>
  <si>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</si>
  <si>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</si>
  <si>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</si>
  <si>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</si>
  <si>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</si>
  <si>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</si>
  <si>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</si>
  <si>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</si>
  <si>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</si>
  <si>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</si>
  <si>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</si>
  <si>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</si>
  <si>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</si>
  <si>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</si>
  <si>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</si>
  <si>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</si>
  <si>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</si>
  <si>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</si>
  <si>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</si>
  <si>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</si>
  <si>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</si>
  <si>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</si>
  <si>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</si>
  <si>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</si>
  <si>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</si>
  <si>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</si>
  <si>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</si>
  <si>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</si>
  <si>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</si>
  <si>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</si>
  <si>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</si>
  <si>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</si>
  <si>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</si>
  <si>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</si>
  <si>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</si>
  <si>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</si>
  <si>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</si>
  <si>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</si>
  <si>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</si>
  <si>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</si>
  <si>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</si>
  <si>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</si>
  <si>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</si>
  <si>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</si>
  <si>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</si>
  <si>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</si>
  <si>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</si>
  <si>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</si>
  <si>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</si>
  <si>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</si>
  <si>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</si>
  <si>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</si>
  <si>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</si>
  <si>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</si>
  <si>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</si>
  <si>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</si>
  <si>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movie_id_title</t>
  </si>
  <si>
    <t>101:K.G.F: Chapter 2</t>
  </si>
  <si>
    <t>102:Doctor Strange in the Multiverse of Madness</t>
  </si>
  <si>
    <t>106:Sholay</t>
  </si>
  <si>
    <t>107:Dilwale Dulhania Le Jayenge</t>
  </si>
  <si>
    <t>109:Kabhi Khushi Kabhie Gham</t>
  </si>
  <si>
    <t>112:Inception</t>
  </si>
  <si>
    <t>113:Interstellar</t>
  </si>
  <si>
    <t>115:The Pursuit of Happyness</t>
  </si>
  <si>
    <t>116:Gladiator</t>
  </si>
  <si>
    <t>117:Titanic</t>
  </si>
  <si>
    <t>118:It's a Wonderful Life</t>
  </si>
  <si>
    <t>119:Avatar</t>
  </si>
  <si>
    <t>120:The Godfather</t>
  </si>
  <si>
    <t>121:The Dark Knight</t>
  </si>
  <si>
    <t>122:Schindler's List</t>
  </si>
  <si>
    <t>123:Jurassic Park</t>
  </si>
  <si>
    <t>124:Parasite</t>
  </si>
  <si>
    <t>125:Avengers: Endgame</t>
  </si>
  <si>
    <t>126:Avengers: Infinity War</t>
  </si>
  <si>
    <t>127:Pather Panchali</t>
  </si>
  <si>
    <t>128:Taare Zameen Par</t>
  </si>
  <si>
    <t>129:Munna Bhai M.B.B.S.</t>
  </si>
  <si>
    <t>130:PK</t>
  </si>
  <si>
    <t>131:Sanju</t>
  </si>
  <si>
    <t>132:Pushpa: The Rise - Part 1</t>
  </si>
  <si>
    <t>133:RRR</t>
  </si>
  <si>
    <t>134:Baahubali: The Beginning</t>
  </si>
  <si>
    <t>135:The Kashmir Files</t>
  </si>
  <si>
    <t>136:Bajrangi Bhaijaan</t>
  </si>
  <si>
    <t>137:Captain America: The First Avenger</t>
  </si>
  <si>
    <t>138:Captain America: The Winter Soldier</t>
  </si>
  <si>
    <t>139:Race 3</t>
  </si>
  <si>
    <t>140:Shershaah</t>
  </si>
  <si>
    <t>title</t>
  </si>
  <si>
    <t>unit_factor</t>
  </si>
  <si>
    <t>budget mi</t>
  </si>
  <si>
    <t>revenue mi</t>
  </si>
  <si>
    <t>budget INR</t>
  </si>
  <si>
    <t>revenue INR</t>
  </si>
  <si>
    <t>budget USD</t>
  </si>
  <si>
    <t>revenue USD</t>
  </si>
  <si>
    <t>128</t>
  </si>
  <si>
    <t>Taare Zameen Par</t>
  </si>
  <si>
    <t>Not Available</t>
  </si>
  <si>
    <t>130</t>
  </si>
  <si>
    <t>PK</t>
  </si>
  <si>
    <t>109</t>
  </si>
  <si>
    <t>Kabhi Khushi Kabhie Gham</t>
  </si>
  <si>
    <t>129</t>
  </si>
  <si>
    <t>Munna Bhai M.B.B.S.</t>
  </si>
  <si>
    <t>131</t>
  </si>
  <si>
    <t>Sanju</t>
  </si>
  <si>
    <t>135</t>
  </si>
  <si>
    <t>The Kashmir Files</t>
  </si>
  <si>
    <t>136</t>
  </si>
  <si>
    <t>Bajrangi Bhaijaan</t>
  </si>
  <si>
    <t>140</t>
  </si>
  <si>
    <t>Shershaah</t>
  </si>
  <si>
    <t>106</t>
  </si>
  <si>
    <t>Sholay</t>
  </si>
  <si>
    <t>110</t>
  </si>
  <si>
    <t>108</t>
  </si>
  <si>
    <t>107</t>
  </si>
  <si>
    <t>Dilwale Dulhania Le Jayenge</t>
  </si>
  <si>
    <t>139</t>
  </si>
  <si>
    <t>Race 3</t>
  </si>
  <si>
    <t>132</t>
  </si>
  <si>
    <t>Pushpa: The Rise - Part 1</t>
  </si>
  <si>
    <t>133</t>
  </si>
  <si>
    <t>RRR</t>
  </si>
  <si>
    <t>134</t>
  </si>
  <si>
    <t>Baahubali: The Beginning</t>
  </si>
  <si>
    <t>101</t>
  </si>
  <si>
    <t>K.G.F: Chapter 2</t>
  </si>
  <si>
    <t>Hombale Films</t>
  </si>
  <si>
    <t>126</t>
  </si>
  <si>
    <t>Avengers: Infinity War</t>
  </si>
  <si>
    <t>112</t>
  </si>
  <si>
    <t>Inception</t>
  </si>
  <si>
    <t>138</t>
  </si>
  <si>
    <t>Captain America: The Winter Soldier</t>
  </si>
  <si>
    <t>137</t>
  </si>
  <si>
    <t>Captain America: The First Avenger</t>
  </si>
  <si>
    <t>125</t>
  </si>
  <si>
    <t>Avengers: Endgame</t>
  </si>
  <si>
    <t>113</t>
  </si>
  <si>
    <t>Interstellar</t>
  </si>
  <si>
    <t>111</t>
  </si>
  <si>
    <t>116</t>
  </si>
  <si>
    <t>Gladiator</t>
  </si>
  <si>
    <t>115</t>
  </si>
  <si>
    <t>The Pursuit of Happyness</t>
  </si>
  <si>
    <t>103</t>
  </si>
  <si>
    <t>102</t>
  </si>
  <si>
    <t>Doctor Strange in the Multiverse of Madness</t>
  </si>
  <si>
    <t>105</t>
  </si>
  <si>
    <t>104</t>
  </si>
  <si>
    <t>117</t>
  </si>
  <si>
    <t>Titanic</t>
  </si>
  <si>
    <t>122</t>
  </si>
  <si>
    <t>Schindler's List</t>
  </si>
  <si>
    <t>123</t>
  </si>
  <si>
    <t>Jurassic Park</t>
  </si>
  <si>
    <t>124</t>
  </si>
  <si>
    <t>Parasite</t>
  </si>
  <si>
    <t>121</t>
  </si>
  <si>
    <t>The Dark Knight</t>
  </si>
  <si>
    <t>118</t>
  </si>
  <si>
    <t>It's a Wonderful Life</t>
  </si>
  <si>
    <t>119</t>
  </si>
  <si>
    <t>Avatar</t>
  </si>
  <si>
    <t>120</t>
  </si>
  <si>
    <t>The Godfather</t>
  </si>
  <si>
    <t>127</t>
  </si>
  <si>
    <t>Pather Panchali</t>
  </si>
  <si>
    <t>Government of West Bengal</t>
  </si>
  <si>
    <t>141</t>
  </si>
  <si>
    <t>Thugs of Hindostan</t>
  </si>
  <si>
    <t>142</t>
  </si>
  <si>
    <t>Shamshera</t>
  </si>
  <si>
    <t>143</t>
  </si>
  <si>
    <t>Cats</t>
  </si>
  <si>
    <t>144</t>
  </si>
  <si>
    <t>Mortal Engines</t>
  </si>
  <si>
    <t>141:Thugs of Hindostan</t>
  </si>
  <si>
    <t>142:Shamshera</t>
  </si>
  <si>
    <t>143:Cats</t>
  </si>
  <si>
    <t>144:Mortal Engines</t>
  </si>
  <si>
    <t>103:Thor: The Dark World</t>
  </si>
  <si>
    <t>104:Thor: Ragnarok</t>
  </si>
  <si>
    <t>105:Thor: Love and Thunder</t>
  </si>
  <si>
    <t>110:Bajirao Mastani</t>
  </si>
  <si>
    <t>108:3 Idiots</t>
  </si>
  <si>
    <t>111:The Shawshank Redemption</t>
  </si>
  <si>
    <t>Bajirao Mastani</t>
  </si>
  <si>
    <t>3 Idiots</t>
  </si>
  <si>
    <t>The Shawshank Redemption</t>
  </si>
  <si>
    <t>Thor: The Dark World</t>
  </si>
  <si>
    <t>Thor: Love and Thunder</t>
  </si>
  <si>
    <t>Thor: Ragnarok</t>
  </si>
  <si>
    <t>watch_verdict</t>
  </si>
  <si>
    <t>roi_pct</t>
  </si>
  <si>
    <t>language_name</t>
  </si>
  <si>
    <t>total_movies</t>
  </si>
  <si>
    <t>average_imdb_rating</t>
  </si>
  <si>
    <t>total_profit_usd_millions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</si>
</sst>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FFFFF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D233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medium">
        <color rgb="FF1D2330"/>
      </top>
      <bottom/>
      <diagonal/>
    </border>
    <border>
      <left style="thin">
        <color rgb="FFB7C3D0"/>
      </left>
      <right/>
      <top style="medium">
        <color rgb="FF1D2330"/>
      </top>
      <bottom/>
      <diagonal/>
    </border>
    <border>
      <left style="thin">
        <color rgb="FFB7C3D0"/>
      </left>
      <right/>
      <top/>
      <bottom/>
      <diagonal/>
    </border>
    <border>
      <left style="medium">
        <color rgb="FF1D2330"/>
      </left>
      <right/>
      <top style="medium">
        <color rgb="FF1D2330"/>
      </top>
      <bottom/>
      <diagonal/>
    </border>
    <border>
      <left/>
      <right style="medium">
        <color rgb="FF1D2330"/>
      </right>
      <top style="medium">
        <color rgb="FF1D2330"/>
      </top>
      <bottom/>
      <diagonal/>
    </border>
    <border>
      <left style="medium">
        <color rgb="FFB7C3D0"/>
      </left>
      <right/>
      <top style="medium">
        <color rgb="FF1D2330"/>
      </top>
      <bottom/>
      <diagonal/>
    </border>
    <border>
      <left style="medium">
        <color rgb="FFB7C3D0"/>
      </left>
      <right/>
      <top/>
      <bottom/>
      <diagonal/>
    </border>
    <border>
      <left style="medium">
        <color rgb="FFB7C3D0"/>
      </left>
      <right style="medium">
        <color rgb="FFB7C3D0"/>
      </right>
      <top style="medium">
        <color rgb="FF1D2330"/>
      </top>
      <bottom/>
      <diagonal/>
    </border>
    <border>
      <left style="medium">
        <color rgb="FFB7C3D0"/>
      </left>
      <right style="medium">
        <color rgb="FFB7C3D0"/>
      </right>
      <top/>
      <bottom/>
      <diagonal/>
    </border>
    <border>
      <left style="thin">
        <color rgb="FFB7C3D0"/>
      </left>
      <right style="thin">
        <color rgb="FFB7C3D0"/>
      </right>
      <top style="medium">
        <color rgb="FF1D2330"/>
      </top>
      <bottom/>
      <diagonal/>
    </border>
    <border>
      <left style="thin">
        <color rgb="FFB7C3D0"/>
      </left>
      <right style="thin">
        <color rgb="FFB7C3D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4" borderId="1" xfId="0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horizontal="left"/>
    </xf>
    <xf numFmtId="1" fontId="2" fillId="3" borderId="0" xfId="0" applyNumberFormat="1" applyFont="1" applyFill="1" applyBorder="1" applyAlignment="1">
      <alignment horizontal="right"/>
    </xf>
    <xf numFmtId="164" fontId="2" fillId="3" borderId="0" xfId="0" applyNumberFormat="1" applyFont="1" applyFill="1" applyBorder="1" applyAlignment="1">
      <alignment horizontal="right"/>
    </xf>
    <xf numFmtId="0" fontId="3" fillId="4" borderId="2" xfId="0" applyNumberFormat="1" applyFont="1" applyFill="1" applyBorder="1" applyAlignment="1">
      <alignment horizontal="center"/>
    </xf>
    <xf numFmtId="0" fontId="2" fillId="3" borderId="3" xfId="0" applyNumberFormat="1" applyFont="1" applyFill="1" applyBorder="1" applyAlignment="1">
      <alignment horizontal="left"/>
    </xf>
    <xf numFmtId="0" fontId="2" fillId="3" borderId="2" xfId="0" applyNumberFormat="1" applyFont="1" applyFill="1" applyBorder="1" applyAlignment="1">
      <alignment horizontal="left"/>
    </xf>
    <xf numFmtId="0" fontId="2" fillId="3" borderId="4" xfId="0" applyNumberFormat="1" applyFont="1" applyFill="1" applyBorder="1" applyAlignment="1">
      <alignment horizontal="left"/>
    </xf>
    <xf numFmtId="0" fontId="3" fillId="4" borderId="5" xfId="0" applyNumberFormat="1" applyFont="1" applyFill="1" applyBorder="1" applyAlignment="1">
      <alignment horizontal="center"/>
    </xf>
    <xf numFmtId="0" fontId="3" fillId="4" borderId="6" xfId="0" applyNumberFormat="1" applyFont="1" applyFill="1" applyBorder="1" applyAlignment="1">
      <alignment horizontal="center"/>
    </xf>
    <xf numFmtId="0" fontId="2" fillId="3" borderId="7" xfId="0" applyNumberFormat="1" applyFont="1" applyFill="1" applyBorder="1" applyAlignment="1">
      <alignment horizontal="left"/>
    </xf>
    <xf numFmtId="0" fontId="2" fillId="3" borderId="8" xfId="0" applyNumberFormat="1" applyFont="1" applyFill="1" applyBorder="1" applyAlignment="1">
      <alignment horizontal="left"/>
    </xf>
    <xf numFmtId="9" fontId="2" fillId="3" borderId="9" xfId="0" applyNumberFormat="1" applyFont="1" applyFill="1" applyBorder="1" applyAlignment="1">
      <alignment horizontal="right"/>
    </xf>
    <xf numFmtId="9" fontId="2" fillId="3" borderId="10" xfId="0" applyNumberFormat="1" applyFont="1" applyFill="1" applyBorder="1" applyAlignment="1">
      <alignment horizontal="right"/>
    </xf>
    <xf numFmtId="1" fontId="2" fillId="3" borderId="3" xfId="0" applyNumberFormat="1" applyFont="1" applyFill="1" applyBorder="1" applyAlignment="1">
      <alignment horizontal="right"/>
    </xf>
    <xf numFmtId="1" fontId="2" fillId="3" borderId="4" xfId="0" applyNumberFormat="1" applyFont="1" applyFill="1" applyBorder="1" applyAlignment="1">
      <alignment horizontal="right"/>
    </xf>
    <xf numFmtId="164" fontId="2" fillId="3" borderId="3" xfId="0" applyNumberFormat="1" applyFont="1" applyFill="1" applyBorder="1" applyAlignment="1">
      <alignment horizontal="right"/>
    </xf>
    <xf numFmtId="164" fontId="2" fillId="3" borderId="4" xfId="0" applyNumberFormat="1" applyFont="1" applyFill="1" applyBorder="1" applyAlignment="1">
      <alignment horizontal="right"/>
    </xf>
    <xf numFmtId="164" fontId="2" fillId="3" borderId="11" xfId="0" applyNumberFormat="1" applyFont="1" applyFill="1" applyBorder="1" applyAlignment="1">
      <alignment horizontal="right"/>
    </xf>
    <xf numFmtId="164" fontId="2" fillId="3" borderId="12" xfId="0" applyNumberFormat="1" applyFont="1" applyFill="1" applyBorder="1" applyAlignment="1">
      <alignment horizontal="right"/>
    </xf>
  </cellXfs>
  <cellStyles count="1">
    <cellStyle name="Normal" xfId="0" builtinId="0"/>
  </cellStyles>
  <dxfs count="46">
    <dxf>
      <font>
        <b val="0"/>
        <i val="0"/>
        <strike val="0"/>
        <u val="none"/>
        <sz val="11"/>
        <color rgb="FF000000"/>
        <name val="Calibri"/>
      </font>
      <numFmt numFmtId="164" formatCode="0.0"/>
      <fill>
        <patternFill patternType="solid">
          <fgColor indexed="64"/>
          <bgColor rgb="FFFFFFFF"/>
        </patternFill>
      </fill>
      <alignment horizontal="right"/>
      <border diagonalUp="0" diagonalDown="0">
        <left style="thin">
          <color rgb="FFB7C3D0"/>
        </left>
        <right style="thin">
          <color rgb="FFB7C3D0"/>
        </right>
        <top/>
        <bottom/>
        <vertical/>
        <horizontal/>
      </border>
    </dxf>
    <dxf>
      <font>
        <b val="0"/>
        <i val="0"/>
        <strike val="0"/>
        <u val="none"/>
        <sz val="11"/>
        <color rgb="FF000000"/>
        <name val="Calibri"/>
      </font>
      <numFmt numFmtId="164" formatCode="0.0"/>
      <fill>
        <patternFill patternType="solid">
          <fgColor indexed="64"/>
          <bgColor rgb="FFFFFFFF"/>
        </patternFill>
      </fill>
      <alignment horizontal="right"/>
      <border diagonalUp="0" diagonalDown="0">
        <left style="thin">
          <color rgb="FFB7C3D0"/>
        </left>
        <right style="thin">
          <color rgb="FFB7C3D0"/>
        </right>
        <top/>
        <bottom/>
        <vertical/>
        <horizontal/>
      </border>
    </dxf>
    <dxf>
      <font>
        <b val="0"/>
        <i val="0"/>
        <strike val="0"/>
        <u val="none"/>
        <sz val="11"/>
        <color rgb="FF000000"/>
        <name val="Calibri"/>
      </font>
      <numFmt numFmtId="1" formatCode="0"/>
      <fill>
        <patternFill patternType="solid">
          <fgColor indexed="64"/>
          <bgColor rgb="FFFFFFFF"/>
        </patternFill>
      </fill>
      <alignment horizontal="right"/>
      <border diagonalUp="0" diagonalDown="0">
        <left style="thin">
          <color rgb="FFB7C3D0"/>
        </left>
        <right style="thin">
          <color rgb="FFB7C3D0"/>
        </right>
        <top/>
        <bottom/>
        <vertical/>
        <horizontal/>
      </border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  <border diagonalUp="0" diagonalDown="0">
        <left style="thin">
          <color rgb="FFB7C3D0"/>
        </left>
        <right/>
        <top/>
        <bottom/>
        <vertical/>
        <horizontal/>
      </border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/>
        <i val="0"/>
        <strike val="0"/>
        <u val="none"/>
        <sz val="11"/>
        <color rgb="FFFFFFFF"/>
        <name val="Calibri"/>
      </font>
      <numFmt numFmtId="0" formatCode="General"/>
      <fill>
        <patternFill patternType="solid">
          <fgColor indexed="64"/>
          <bgColor rgb="FF1D2330"/>
        </patternFill>
      </fill>
      <alignment horizontal="center"/>
      <border diagonalUp="0" diagonalDown="0">
        <left/>
        <right/>
        <top/>
        <bottom/>
        <vertical/>
        <horizontal/>
      </border>
    </dxf>
    <dxf>
      <border>
        <bottom style="medium">
          <color rgb="FF1D2330"/>
        </bottom>
      </border>
    </dxf>
    <dxf>
      <font>
        <b val="0"/>
        <i val="0"/>
        <strike val="0"/>
        <u val="none"/>
        <sz val="11"/>
        <color rgb="FF000000"/>
        <name val="Calibri"/>
      </font>
      <numFmt numFmtId="13" formatCode="0%"/>
      <fill>
        <patternFill patternType="solid">
          <fgColor indexed="64"/>
          <bgColor rgb="FFFFFFFF"/>
        </patternFill>
      </fill>
      <alignment horizontal="right"/>
      <border diagonalUp="0" diagonalDown="0">
        <left style="medium">
          <color rgb="FFB7C3D0"/>
        </left>
        <right style="medium">
          <color rgb="FFB7C3D0"/>
        </right>
        <top/>
        <bottom/>
        <vertical/>
        <horizontal/>
      </border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  <border diagonalUp="0" diagonalDown="0">
        <left style="medium">
          <color rgb="FFB7C3D0"/>
        </left>
        <right/>
        <top/>
        <bottom/>
        <vertical/>
        <horizontal/>
      </border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/>
        <i val="0"/>
        <strike val="0"/>
        <u val="none"/>
        <sz val="11"/>
        <color rgb="FFFFFFFF"/>
        <name val="Calibri"/>
      </font>
      <numFmt numFmtId="0" formatCode="General"/>
      <fill>
        <patternFill patternType="solid">
          <fgColor indexed="64"/>
          <bgColor rgb="FF1D2330"/>
        </patternFill>
      </fill>
      <alignment horizontal="center"/>
      <border diagonalUp="0" diagonalDown="0">
        <left/>
        <right/>
        <top/>
        <bottom/>
        <vertical/>
        <horizontal/>
      </border>
    </dxf>
    <dxf>
      <border>
        <bottom style="medium">
          <color rgb="FF1D2330"/>
        </bottom>
      </border>
    </dxf>
    <dxf>
      <font>
        <color rgb="FF000000"/>
      </font>
      <fill>
        <patternFill patternType="solid">
          <fgColor indexed="64"/>
          <bgColor rgb="FFFFF2CC"/>
        </patternFill>
      </fill>
    </dxf>
    <dxf>
      <font>
        <color rgb="FF000000"/>
      </font>
      <fill>
        <patternFill patternType="solid">
          <fgColor indexed="64"/>
          <bgColor rgb="FFFCE4D6"/>
        </patternFill>
      </fill>
    </dxf>
    <dxf>
      <font>
        <b val="0"/>
        <i val="0"/>
        <strike val="0"/>
        <u val="none"/>
        <sz val="11"/>
        <color rgb="FF000000"/>
        <name val="Calibri"/>
      </font>
      <numFmt numFmtId="1" formatCode="0"/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164" formatCode="0.0"/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numFmt numFmtId="1" formatCode="0"/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0" formatCode="General"/>
      <fill>
        <patternFill patternType="solid">
          <fgColor indexed="64"/>
          <bgColor rgb="FFFFFFFF"/>
        </patternFill>
      </fill>
      <alignment horizontal="left"/>
    </dxf>
    <dxf>
      <border diagonalUp="0" diagonalDown="0">
        <left style="medium">
          <color rgb="FF808080"/>
        </left>
        <right style="medium">
          <color rgb="FF80808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numFmt numFmtId="0" formatCode="General"/>
      <fill>
        <patternFill patternType="solid">
          <fgColor indexed="64"/>
          <bgColor rgb="FF1D2330"/>
        </patternFill>
      </fill>
      <alignment horizontal="center"/>
    </dxf>
    <dxf>
      <border>
        <bottom style="thin">
          <color rgb="FF808080"/>
        </bottom>
      </border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1" defaultTableStyle="TableStyleMedium2" defaultPivotStyle="PivotStyleLight16">
    <tableStyle name="Invisible" pivot="0" table="0" count="0" xr9:uid="{08BBF596-E943-4E8B-AB81-4877EF0CD8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Language (USD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'Language summary'!$E$1</c:f>
              <c:strCache>
                <c:ptCount val="1"/>
                <c:pt idx="0">
                  <c:v>total_profit_usd_millions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'Language summary'!$B$2:$B$9</c:f>
              <c:strCache>
                <c:ptCount val="8"/>
                <c:pt idx="0">
                  <c:v>Hindi</c:v>
                </c:pt>
                <c:pt idx="1">
                  <c:v>Telugu</c:v>
                </c:pt>
                <c:pt idx="2">
                  <c:v>Kannada</c:v>
                </c:pt>
                <c:pt idx="3">
                  <c:v>Tamil</c:v>
                </c:pt>
                <c:pt idx="4">
                  <c:v>English</c:v>
                </c:pt>
                <c:pt idx="5">
                  <c:v>French</c:v>
                </c:pt>
                <c:pt idx="6">
                  <c:v>Bengali</c:v>
                </c:pt>
                <c:pt idx="7">
                  <c:v>Gujarati</c:v>
                </c:pt>
              </c:strCache>
            </c:strRef>
          </c:cat>
          <c:val>
            <c:numRef>
              <c:f>'Language summary'!$E$2:$E$9</c:f>
              <c:numCache>
                <c:formatCode>0.0</c:formatCode>
                <c:ptCount val="8"/>
                <c:pt idx="0">
                  <c:v>444.98749999999995</c:v>
                </c:pt>
                <c:pt idx="1">
                  <c:v>160</c:v>
                </c:pt>
                <c:pt idx="2">
                  <c:v>143.75</c:v>
                </c:pt>
                <c:pt idx="3">
                  <c:v>0</c:v>
                </c:pt>
                <c:pt idx="4">
                  <c:v>15472.320000000002</c:v>
                </c:pt>
                <c:pt idx="5">
                  <c:v>0</c:v>
                </c:pt>
                <c:pt idx="6">
                  <c:v>0.375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75-4BD6-9272-62B111540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5886208"/>
        <c:axId val="1008332624"/>
      </c:barChart>
      <c:catAx>
        <c:axId val="104588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332624"/>
        <c:crosses val="autoZero"/>
        <c:auto val="1"/>
        <c:lblAlgn val="ctr"/>
        <c:lblOffset val="100"/>
        <c:noMultiLvlLbl val="0"/>
      </c:catAx>
      <c:valAx>
        <c:axId val="100833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88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4" name="LanguageProfitChart">
          <a:extLst>
            <a:ext uri="{FF2B5EF4-FFF2-40B4-BE49-F238E27FC236}">
              <a16:creationId xmlns:a16="http://schemas.microsoft.com/office/drawing/2014/main" id="{F5BD8B55-29B8-F886-8530-EBAB5AD89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8A301C-31B7-4538-BFA0-902CE1C165EA}" name="MovieFinancials" displayName="MovieFinancials" ref="A1:T44" totalsRowShown="0" headerRowDxfId="29" dataDxfId="28" headerRowBorderDxfId="30">
  <autoFilter ref="A1:T44" xr:uid="{AB8A301C-31B7-4538-BFA0-902CE1C165EA}"/>
  <tableColumns count="20">
    <tableColumn id="1" xr3:uid="{270B3ABB-4405-4AEC-9E19-AD9E7ABD1B38}" name="movie_id" dataDxfId="27"/>
    <tableColumn id="2" xr3:uid="{4C9ABF98-463C-4D01-A892-C884AB9CCE78}" name="title" dataDxfId="26"/>
    <tableColumn id="3" xr3:uid="{11A3BD59-D839-480F-AC04-43FFBDD7CB19}" name="industry" dataDxfId="25"/>
    <tableColumn id="4" xr3:uid="{97AE1618-F6C8-44CA-9292-5EDF3A1282B1}" name="release_year" dataDxfId="24"/>
    <tableColumn id="5" xr3:uid="{FA10499C-4F4D-4DEF-886E-5C6CFF6265FD}" name="imdb_rating" dataDxfId="23"/>
    <tableColumn id="6" xr3:uid="{D64F77CB-7D69-406D-8CBB-D88D52FB3185}" name="studio" dataDxfId="22"/>
    <tableColumn id="7" xr3:uid="{514832FC-C2BF-4A83-9E33-A98A0F599C0B}" name="language_id" dataDxfId="21"/>
    <tableColumn id="8" xr3:uid="{02FCA80C-8512-4E6A-92BD-7C77EFE4E840}" name="budget" dataDxfId="20"/>
    <tableColumn id="9" xr3:uid="{EA78B154-A6D6-4D00-B8E2-EC2CC9D0E314}" name="revenue" dataDxfId="19"/>
    <tableColumn id="10" xr3:uid="{987B2C59-F816-47E3-8125-FDF6C8BDB8FB}" name="unit" dataDxfId="18"/>
    <tableColumn id="11" xr3:uid="{F884BB01-9CC6-4BF5-B372-87F72749ACE4}" name="currency" dataDxfId="17"/>
    <tableColumn id="12" xr3:uid="{2A8BAF27-30A8-4978-B2CF-9726DC333651}" name="unit_factor" dataDxfId="16"/>
    <tableColumn id="13" xr3:uid="{688346F4-F748-4782-810F-4FA6910C90DF}" name="budget mi" dataDxfId="15"/>
    <tableColumn id="14" xr3:uid="{FA465783-9663-4DB7-AF75-DF892F2D2423}" name="revenue mi" dataDxfId="14"/>
    <tableColumn id="15" xr3:uid="{0F0523C9-A9BE-43BD-986A-B66FE2B56F6A}" name="budget INR" dataDxfId="13"/>
    <tableColumn id="16" xr3:uid="{5586A591-E279-4DD9-9DC0-4249B73A8738}" name="revenue INR" dataDxfId="12"/>
    <tableColumn id="17" xr3:uid="{367E51BA-0ADC-4B16-9981-0CF052AB1BD9}" name="budget USD" dataDxfId="11"/>
    <tableColumn id="18" xr3:uid="{3C13F0F7-FA46-4F8F-819F-82311A9A7999}" name="revenue USD" dataDxfId="10"/>
    <tableColumn id="24" xr3:uid="{66A2AAE8-864A-4906-99E0-9F69F79FBF8B}" name="watch_verdict" dataDxfId="9">
      <calculatedColumnFormula>IF(OR(E2="",E2="NULL"),"Not rated",IF(E2&gt;=8,"Must Watch",IF(E2&gt;=6,"Worth of watch","Skip")))</calculatedColumnFormula>
    </tableColumn>
    <tableColumn id="25" xr3:uid="{D658CCEA-7C60-45A7-9260-8B3BD739778E}" name="roi_pct" dataDxfId="8">
      <calculatedColumnFormula>IF(OR(Q2="",Q2="NULL",R2="",R2="NULL"),"",IFERROR((R2-Q2)/Q2,""))</calculatedColumnFormula>
    </tableColumn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F44" totalsRowShown="0" headerRowDxfId="40" headerRowBorderDxfId="41" tableBorderDxfId="39">
  <autoFilter ref="A1:F44" xr:uid="{6A7FE39D-5614-4A7F-89B7-C167ABC0A251}"/>
  <tableColumns count="6">
    <tableColumn id="1" xr3:uid="{5E453F0D-B27C-433C-BF11-BA3FE1A6822E}" name="movie_id_title" dataDxfId="38"/>
    <tableColumn id="3" xr3:uid="{A73DC6E7-A5B7-4D92-B13E-587CFA363BFA}" name="industry" dataDxfId="37"/>
    <tableColumn id="4" xr3:uid="{DFE5EBBB-5DEF-4AB9-A5C9-802FC0AD1B5B}" name="release_year" dataDxfId="36"/>
    <tableColumn id="5" xr3:uid="{D500D219-E618-40DD-B4AA-E390F996EF1E}" name="imdb_rating" dataDxfId="35"/>
    <tableColumn id="6" xr3:uid="{D06057E5-53B4-474F-BA7C-D7BC731BE502}" name="studio" dataDxfId="34"/>
    <tableColumn id="7" xr3:uid="{70C8CD53-1FFB-4649-B796-093E6560F8C9}" name="language_id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5" totalsRowShown="0" headerRowDxfId="45">
  <autoFilter ref="A1:E45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44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43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42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00B773-320B-497E-A537-99F641C978E9}" name="LanguageSummary" displayName="LanguageSummary" ref="A1:E9" totalsRowShown="0" headerRowDxfId="6" dataDxfId="5" headerRowBorderDxfId="7">
  <autoFilter ref="A1:E9" xr:uid="{6D00B773-320B-497E-A537-99F641C978E9}"/>
  <tableColumns count="5">
    <tableColumn id="1" xr3:uid="{DD21DD05-6CF3-410B-A76E-1B6920574726}" name="language_id" dataDxfId="4"/>
    <tableColumn id="2" xr3:uid="{C61B34D8-7519-4018-966A-E5795D5DD670}" name="language_name" dataDxfId="3"/>
    <tableColumn id="3" xr3:uid="{192A377D-4CF0-4B9E-BFD5-48C0D5DFBB13}" name="total_movies" dataDxfId="2">
      <calculatedColumnFormula>COUNTIF(MovieFinancials!$G$2:$G$44,A2)</calculatedColumnFormula>
    </tableColumn>
    <tableColumn id="4" xr3:uid="{041A5775-30DD-4D5A-9917-40E1D98C3C4E}" name="average_imdb_rating" dataDxfId="0">
      <calculatedColumnFormula>IF(C2=0,0,IFERROR(AVERAGEIF(MovieFinancials!$G$2:$G$44,A2,MovieFinancials!$E$2:$E$44),0))</calculatedColumnFormula>
    </tableColumn>
    <tableColumn id="5" xr3:uid="{8EF97707-C7FB-461E-9B05-2E2AB01C8F7A}" name="total_profit_usd_millions" dataDxfId="1">
      <calculatedColumnFormula>SUMIF(MovieFinancials!$G$2:$G$44,A2,MovieFinancials!$R$2:$R$44)-SUMIF(MovieFinancials!$G$2:$G$44,A2,MovieFinancials!$Q$2:$Q$44)</calculatedColumnFormula>
    </tableColumn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525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40F9F04-2C68-4F1F-8FAA-F8482DFBFE04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8c86c371-f910-47a8-866c-595456e0886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C0F55CE-C39E-4661-91FA-8E6553A19F96}">
  <we:reference id="wa200010215" version="2.0.0.1" store="en-US" storeType="OMEX"/>
  <we:alternateReferences>
    <we:reference id="WA200010215" version="2.0.0.1" store="" storeType="OMEX"/>
  </we:alternateReferences>
  <we:properties>
    <we:property name="bps.codex_control.document_id" value="&quot;0351bae0-eed1-4a33-bf76-294d015b9e4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FF5B-57FE-4F41-8972-B41805E9BC4B}">
  <dimension ref="A1:T44"/>
  <sheetViews>
    <sheetView topLeftCell="G23" workbookViewId="0">
      <selection activeCell="R10" sqref="R10"/>
    </sheetView>
  </sheetViews>
  <sheetFormatPr defaultRowHeight="14.5" x14ac:dyDescent="0.35"/>
  <cols>
    <col min="1" max="1" width="11" bestFit="1" customWidth="1"/>
    <col min="2" max="2" width="37.81640625" bestFit="1" customWidth="1"/>
    <col min="3" max="3" width="10.1796875" bestFit="1" customWidth="1"/>
    <col min="4" max="4" width="13.7265625" bestFit="1" customWidth="1"/>
    <col min="5" max="5" width="13.453125" bestFit="1" customWidth="1"/>
    <col min="6" max="6" width="24.26953125" bestFit="1" customWidth="1"/>
    <col min="7" max="7" width="13.453125" bestFit="1" customWidth="1"/>
    <col min="8" max="8" width="9.26953125" bestFit="1" customWidth="1"/>
    <col min="9" max="9" width="10.1796875" bestFit="1" customWidth="1"/>
    <col min="10" max="10" width="7.26953125" bestFit="1" customWidth="1"/>
    <col min="11" max="11" width="10.54296875" bestFit="1" customWidth="1"/>
    <col min="12" max="12" width="12.54296875" bestFit="1" customWidth="1"/>
    <col min="13" max="13" width="11.7265625" bestFit="1" customWidth="1"/>
    <col min="14" max="15" width="12.7265625" bestFit="1" customWidth="1"/>
    <col min="16" max="16" width="13.54296875" bestFit="1" customWidth="1"/>
    <col min="17" max="17" width="13.26953125" bestFit="1" customWidth="1"/>
    <col min="18" max="18" width="14.1796875" bestFit="1" customWidth="1"/>
    <col min="19" max="19" width="14.90625" bestFit="1" customWidth="1"/>
  </cols>
  <sheetData>
    <row r="1" spans="1:20" ht="15" thickBot="1" x14ac:dyDescent="0.4">
      <c r="A1" s="11" t="s">
        <v>0</v>
      </c>
      <c r="B1" s="7" t="s">
        <v>148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149</v>
      </c>
      <c r="M1" s="7" t="s">
        <v>150</v>
      </c>
      <c r="N1" s="7" t="s">
        <v>151</v>
      </c>
      <c r="O1" s="7" t="s">
        <v>152</v>
      </c>
      <c r="P1" s="7" t="s">
        <v>153</v>
      </c>
      <c r="Q1" s="7" t="s">
        <v>154</v>
      </c>
      <c r="R1" s="7" t="s">
        <v>155</v>
      </c>
      <c r="S1" s="7" t="s">
        <v>255</v>
      </c>
      <c r="T1" s="12" t="s">
        <v>256</v>
      </c>
    </row>
    <row r="2" spans="1:20" x14ac:dyDescent="0.35">
      <c r="A2" s="13" t="s">
        <v>156</v>
      </c>
      <c r="B2" s="9" t="s">
        <v>157</v>
      </c>
      <c r="C2" s="9" t="s">
        <v>6</v>
      </c>
      <c r="D2" s="9">
        <v>2007</v>
      </c>
      <c r="E2" s="9">
        <v>8.3000000000000007</v>
      </c>
      <c r="F2" s="9" t="s">
        <v>158</v>
      </c>
      <c r="G2" s="9">
        <v>1</v>
      </c>
      <c r="H2" s="9">
        <v>120</v>
      </c>
      <c r="I2" s="9">
        <v>1350</v>
      </c>
      <c r="J2" s="9" t="s">
        <v>33</v>
      </c>
      <c r="K2" s="9" t="s">
        <v>32</v>
      </c>
      <c r="L2" s="9">
        <v>1</v>
      </c>
      <c r="M2" s="9">
        <v>120</v>
      </c>
      <c r="N2" s="9">
        <v>1350</v>
      </c>
      <c r="O2" s="9">
        <v>120</v>
      </c>
      <c r="P2" s="9">
        <v>1350</v>
      </c>
      <c r="Q2" s="9">
        <v>1.5</v>
      </c>
      <c r="R2" s="9">
        <v>16.875</v>
      </c>
      <c r="S2" s="9" t="str">
        <f t="shared" ref="S2:S44" si="0">IF(OR(E2="",E2="NULL"),"Not rated",IF(E2&gt;=8,"Must Watch",IF(E2&gt;=6,"Worth of watch","Skip")))</f>
        <v>Must Watch</v>
      </c>
      <c r="T2" s="15">
        <f t="shared" ref="T2:T44" si="1">IF(OR(Q2="",Q2="NULL",R2="",R2="NULL"),"",IFERROR((R2-Q2)/Q2,""))</f>
        <v>10.25</v>
      </c>
    </row>
    <row r="3" spans="1:20" x14ac:dyDescent="0.35">
      <c r="A3" s="14" t="s">
        <v>159</v>
      </c>
      <c r="B3" s="4" t="s">
        <v>160</v>
      </c>
      <c r="C3" s="4" t="s">
        <v>6</v>
      </c>
      <c r="D3" s="4">
        <v>2014</v>
      </c>
      <c r="E3" s="4">
        <v>8.1</v>
      </c>
      <c r="F3" s="4" t="s">
        <v>11</v>
      </c>
      <c r="G3" s="4">
        <v>1</v>
      </c>
      <c r="H3" s="4">
        <v>850</v>
      </c>
      <c r="I3" s="4">
        <v>8540</v>
      </c>
      <c r="J3" s="4" t="s">
        <v>33</v>
      </c>
      <c r="K3" s="4" t="s">
        <v>32</v>
      </c>
      <c r="L3" s="4">
        <v>1</v>
      </c>
      <c r="M3" s="4">
        <v>850</v>
      </c>
      <c r="N3" s="4">
        <v>8540</v>
      </c>
      <c r="O3" s="4">
        <v>850</v>
      </c>
      <c r="P3" s="4">
        <v>8540</v>
      </c>
      <c r="Q3" s="4">
        <v>10.625</v>
      </c>
      <c r="R3" s="4">
        <v>106.75</v>
      </c>
      <c r="S3" s="4" t="str">
        <f t="shared" si="0"/>
        <v>Must Watch</v>
      </c>
      <c r="T3" s="16">
        <f t="shared" si="1"/>
        <v>9.0470588235294116</v>
      </c>
    </row>
    <row r="4" spans="1:20" x14ac:dyDescent="0.35">
      <c r="A4" s="14" t="s">
        <v>161</v>
      </c>
      <c r="B4" s="4" t="s">
        <v>162</v>
      </c>
      <c r="C4" s="4" t="s">
        <v>6</v>
      </c>
      <c r="D4" s="4">
        <v>2001</v>
      </c>
      <c r="E4" s="4">
        <v>7.4</v>
      </c>
      <c r="F4" s="4" t="s">
        <v>12</v>
      </c>
      <c r="G4" s="4">
        <v>1</v>
      </c>
      <c r="H4" s="4">
        <v>390</v>
      </c>
      <c r="I4" s="4">
        <v>1360</v>
      </c>
      <c r="J4" s="4" t="s">
        <v>33</v>
      </c>
      <c r="K4" s="4" t="s">
        <v>32</v>
      </c>
      <c r="L4" s="4">
        <v>1</v>
      </c>
      <c r="M4" s="4">
        <v>390</v>
      </c>
      <c r="N4" s="4">
        <v>1360</v>
      </c>
      <c r="O4" s="4">
        <v>390</v>
      </c>
      <c r="P4" s="4">
        <v>1360</v>
      </c>
      <c r="Q4" s="4">
        <v>4.875</v>
      </c>
      <c r="R4" s="4">
        <v>17</v>
      </c>
      <c r="S4" s="4" t="str">
        <f t="shared" si="0"/>
        <v>Worth of watch</v>
      </c>
      <c r="T4" s="16">
        <f t="shared" si="1"/>
        <v>2.4871794871794872</v>
      </c>
    </row>
    <row r="5" spans="1:20" x14ac:dyDescent="0.35">
      <c r="A5" s="14" t="s">
        <v>163</v>
      </c>
      <c r="B5" s="4" t="s">
        <v>164</v>
      </c>
      <c r="C5" s="4" t="s">
        <v>6</v>
      </c>
      <c r="D5" s="4">
        <v>2003</v>
      </c>
      <c r="E5" s="4">
        <v>8.1</v>
      </c>
      <c r="F5" s="4" t="s">
        <v>21</v>
      </c>
      <c r="G5" s="4">
        <v>1</v>
      </c>
      <c r="H5" s="4">
        <v>100</v>
      </c>
      <c r="I5" s="4">
        <v>410</v>
      </c>
      <c r="J5" s="4" t="s">
        <v>33</v>
      </c>
      <c r="K5" s="4" t="s">
        <v>32</v>
      </c>
      <c r="L5" s="4">
        <v>1</v>
      </c>
      <c r="M5" s="4">
        <v>100</v>
      </c>
      <c r="N5" s="4">
        <v>410</v>
      </c>
      <c r="O5" s="4">
        <v>100</v>
      </c>
      <c r="P5" s="4">
        <v>410</v>
      </c>
      <c r="Q5" s="4">
        <v>1.25</v>
      </c>
      <c r="R5" s="4">
        <v>5.125</v>
      </c>
      <c r="S5" s="4" t="str">
        <f t="shared" si="0"/>
        <v>Must Watch</v>
      </c>
      <c r="T5" s="16">
        <f t="shared" si="1"/>
        <v>3.1</v>
      </c>
    </row>
    <row r="6" spans="1:20" x14ac:dyDescent="0.35">
      <c r="A6" s="14" t="s">
        <v>165</v>
      </c>
      <c r="B6" s="4" t="s">
        <v>166</v>
      </c>
      <c r="C6" s="4" t="s">
        <v>6</v>
      </c>
      <c r="D6" s="4">
        <v>2018</v>
      </c>
      <c r="E6" s="4" t="s">
        <v>113</v>
      </c>
      <c r="F6" s="4" t="s">
        <v>11</v>
      </c>
      <c r="G6" s="4">
        <v>1</v>
      </c>
      <c r="H6" s="4">
        <v>1</v>
      </c>
      <c r="I6" s="4">
        <v>5.9</v>
      </c>
      <c r="J6" s="4" t="s">
        <v>31</v>
      </c>
      <c r="K6" s="4" t="s">
        <v>32</v>
      </c>
      <c r="L6" s="4">
        <v>1000</v>
      </c>
      <c r="M6" s="4">
        <v>1000</v>
      </c>
      <c r="N6" s="4">
        <v>5900</v>
      </c>
      <c r="O6" s="4">
        <v>1000</v>
      </c>
      <c r="P6" s="4">
        <v>5900</v>
      </c>
      <c r="Q6" s="4">
        <v>12.5</v>
      </c>
      <c r="R6" s="4">
        <v>73.75</v>
      </c>
      <c r="S6" s="4" t="str">
        <f t="shared" si="0"/>
        <v>Not rated</v>
      </c>
      <c r="T6" s="16">
        <f t="shared" si="1"/>
        <v>4.9000000000000004</v>
      </c>
    </row>
    <row r="7" spans="1:20" x14ac:dyDescent="0.35">
      <c r="A7" s="14" t="s">
        <v>167</v>
      </c>
      <c r="B7" s="4" t="s">
        <v>168</v>
      </c>
      <c r="C7" s="4" t="s">
        <v>6</v>
      </c>
      <c r="D7" s="4">
        <v>2022</v>
      </c>
      <c r="E7" s="4">
        <v>8.3000000000000007</v>
      </c>
      <c r="F7" s="4" t="s">
        <v>25</v>
      </c>
      <c r="G7" s="4">
        <v>1</v>
      </c>
      <c r="H7" s="4">
        <v>250</v>
      </c>
      <c r="I7" s="4">
        <v>3409</v>
      </c>
      <c r="J7" s="4" t="s">
        <v>33</v>
      </c>
      <c r="K7" s="4" t="s">
        <v>32</v>
      </c>
      <c r="L7" s="4">
        <v>1</v>
      </c>
      <c r="M7" s="4">
        <v>250</v>
      </c>
      <c r="N7" s="4">
        <v>3409</v>
      </c>
      <c r="O7" s="4">
        <v>250</v>
      </c>
      <c r="P7" s="4">
        <v>3409</v>
      </c>
      <c r="Q7" s="4">
        <v>3.125</v>
      </c>
      <c r="R7" s="4">
        <v>42.612499999999997</v>
      </c>
      <c r="S7" s="4" t="str">
        <f t="shared" si="0"/>
        <v>Must Watch</v>
      </c>
      <c r="T7" s="16">
        <f t="shared" si="1"/>
        <v>12.635999999999999</v>
      </c>
    </row>
    <row r="8" spans="1:20" x14ac:dyDescent="0.35">
      <c r="A8" s="14" t="s">
        <v>169</v>
      </c>
      <c r="B8" s="4" t="s">
        <v>170</v>
      </c>
      <c r="C8" s="4" t="s">
        <v>6</v>
      </c>
      <c r="D8" s="4">
        <v>2015</v>
      </c>
      <c r="E8" s="4">
        <v>8.1</v>
      </c>
      <c r="F8" s="4" t="s">
        <v>26</v>
      </c>
      <c r="G8" s="4">
        <v>1</v>
      </c>
      <c r="H8" s="4">
        <v>900</v>
      </c>
      <c r="I8" s="4">
        <v>11690</v>
      </c>
      <c r="J8" s="4" t="s">
        <v>33</v>
      </c>
      <c r="K8" s="4" t="s">
        <v>32</v>
      </c>
      <c r="L8" s="4">
        <v>1</v>
      </c>
      <c r="M8" s="4">
        <v>900</v>
      </c>
      <c r="N8" s="4">
        <v>11690</v>
      </c>
      <c r="O8" s="4">
        <v>900</v>
      </c>
      <c r="P8" s="4">
        <v>11690</v>
      </c>
      <c r="Q8" s="4">
        <v>11.25</v>
      </c>
      <c r="R8" s="4">
        <v>146.125</v>
      </c>
      <c r="S8" s="4" t="str">
        <f t="shared" si="0"/>
        <v>Must Watch</v>
      </c>
      <c r="T8" s="16">
        <f t="shared" si="1"/>
        <v>11.988888888888889</v>
      </c>
    </row>
    <row r="9" spans="1:20" x14ac:dyDescent="0.35">
      <c r="A9" s="14" t="s">
        <v>171</v>
      </c>
      <c r="B9" s="4" t="s">
        <v>172</v>
      </c>
      <c r="C9" s="4" t="s">
        <v>6</v>
      </c>
      <c r="D9" s="4">
        <v>2021</v>
      </c>
      <c r="E9" s="4">
        <v>8.4</v>
      </c>
      <c r="F9" s="4" t="s">
        <v>12</v>
      </c>
      <c r="G9" s="4">
        <v>1</v>
      </c>
      <c r="H9" s="4">
        <v>500</v>
      </c>
      <c r="I9" s="4">
        <v>950</v>
      </c>
      <c r="J9" s="4" t="s">
        <v>33</v>
      </c>
      <c r="K9" s="4" t="s">
        <v>32</v>
      </c>
      <c r="L9" s="4">
        <v>1</v>
      </c>
      <c r="M9" s="4">
        <v>500</v>
      </c>
      <c r="N9" s="4">
        <v>950</v>
      </c>
      <c r="O9" s="4">
        <v>500</v>
      </c>
      <c r="P9" s="4">
        <v>950</v>
      </c>
      <c r="Q9" s="4">
        <v>6.25</v>
      </c>
      <c r="R9" s="4">
        <v>11.875</v>
      </c>
      <c r="S9" s="4" t="str">
        <f t="shared" si="0"/>
        <v>Must Watch</v>
      </c>
      <c r="T9" s="16">
        <f t="shared" si="1"/>
        <v>0.9</v>
      </c>
    </row>
    <row r="10" spans="1:20" x14ac:dyDescent="0.35">
      <c r="A10" s="14" t="s">
        <v>173</v>
      </c>
      <c r="B10" s="4" t="s">
        <v>174</v>
      </c>
      <c r="C10" s="4" t="s">
        <v>6</v>
      </c>
      <c r="D10" s="4">
        <v>1975</v>
      </c>
      <c r="E10" s="4">
        <v>8.1</v>
      </c>
      <c r="F10" s="4" t="s">
        <v>9</v>
      </c>
      <c r="G10" s="4">
        <v>1</v>
      </c>
      <c r="H10" s="4"/>
      <c r="I10" s="4"/>
      <c r="J10" s="4"/>
      <c r="K10" s="4"/>
      <c r="L10" s="4">
        <v>1</v>
      </c>
      <c r="M10" s="4"/>
      <c r="N10" s="4"/>
      <c r="O10" s="4"/>
      <c r="P10" s="4"/>
      <c r="Q10" s="4"/>
      <c r="R10" s="4"/>
      <c r="S10" s="4" t="str">
        <f t="shared" si="0"/>
        <v>Must Watch</v>
      </c>
      <c r="T10" s="16" t="str">
        <f t="shared" si="1"/>
        <v/>
      </c>
    </row>
    <row r="11" spans="1:20" x14ac:dyDescent="0.35">
      <c r="A11" s="14" t="s">
        <v>175</v>
      </c>
      <c r="B11" s="4" t="s">
        <v>249</v>
      </c>
      <c r="C11" s="4" t="s">
        <v>6</v>
      </c>
      <c r="D11" s="4">
        <v>2015</v>
      </c>
      <c r="E11" s="4">
        <v>7.2</v>
      </c>
      <c r="F11" s="4" t="s">
        <v>158</v>
      </c>
      <c r="G11" s="4">
        <v>1</v>
      </c>
      <c r="H11" s="4">
        <v>1.4</v>
      </c>
      <c r="I11" s="4">
        <v>3.5</v>
      </c>
      <c r="J11" s="4" t="s">
        <v>31</v>
      </c>
      <c r="K11" s="4" t="s">
        <v>32</v>
      </c>
      <c r="L11" s="4">
        <v>1000</v>
      </c>
      <c r="M11" s="4">
        <v>1400</v>
      </c>
      <c r="N11" s="4">
        <v>3500</v>
      </c>
      <c r="O11" s="4">
        <v>1400</v>
      </c>
      <c r="P11" s="4">
        <v>3500</v>
      </c>
      <c r="Q11" s="4">
        <v>17.5</v>
      </c>
      <c r="R11" s="4">
        <v>43.75</v>
      </c>
      <c r="S11" s="4" t="str">
        <f t="shared" si="0"/>
        <v>Worth of watch</v>
      </c>
      <c r="T11" s="16">
        <f t="shared" si="1"/>
        <v>1.5</v>
      </c>
    </row>
    <row r="12" spans="1:20" x14ac:dyDescent="0.35">
      <c r="A12" s="14" t="s">
        <v>176</v>
      </c>
      <c r="B12" s="4" t="s">
        <v>250</v>
      </c>
      <c r="C12" s="4" t="s">
        <v>6</v>
      </c>
      <c r="D12" s="4">
        <v>2009</v>
      </c>
      <c r="E12" s="4">
        <v>8.4</v>
      </c>
      <c r="F12" s="4" t="s">
        <v>11</v>
      </c>
      <c r="G12" s="4">
        <v>1</v>
      </c>
      <c r="H12" s="4">
        <v>550</v>
      </c>
      <c r="I12" s="4">
        <v>4000</v>
      </c>
      <c r="J12" s="4" t="s">
        <v>33</v>
      </c>
      <c r="K12" s="4" t="s">
        <v>32</v>
      </c>
      <c r="L12" s="4">
        <v>1</v>
      </c>
      <c r="M12" s="4">
        <v>550</v>
      </c>
      <c r="N12" s="4">
        <v>4000</v>
      </c>
      <c r="O12" s="4">
        <v>550</v>
      </c>
      <c r="P12" s="4">
        <v>4000</v>
      </c>
      <c r="Q12" s="4">
        <v>6.875</v>
      </c>
      <c r="R12" s="4">
        <v>50</v>
      </c>
      <c r="S12" s="4" t="str">
        <f t="shared" si="0"/>
        <v>Must Watch</v>
      </c>
      <c r="T12" s="16">
        <f t="shared" si="1"/>
        <v>6.2727272727272725</v>
      </c>
    </row>
    <row r="13" spans="1:20" x14ac:dyDescent="0.35">
      <c r="A13" s="14" t="s">
        <v>177</v>
      </c>
      <c r="B13" s="4" t="s">
        <v>178</v>
      </c>
      <c r="C13" s="4" t="s">
        <v>6</v>
      </c>
      <c r="D13" s="4">
        <v>1995</v>
      </c>
      <c r="E13" s="4">
        <v>8</v>
      </c>
      <c r="F13" s="4" t="s">
        <v>10</v>
      </c>
      <c r="G13" s="4">
        <v>1</v>
      </c>
      <c r="H13" s="4">
        <v>400</v>
      </c>
      <c r="I13" s="4">
        <v>2000</v>
      </c>
      <c r="J13" s="4" t="s">
        <v>33</v>
      </c>
      <c r="K13" s="4" t="s">
        <v>32</v>
      </c>
      <c r="L13" s="4">
        <v>1</v>
      </c>
      <c r="M13" s="4">
        <v>400</v>
      </c>
      <c r="N13" s="4">
        <v>2000</v>
      </c>
      <c r="O13" s="4">
        <v>400</v>
      </c>
      <c r="P13" s="4">
        <v>2000</v>
      </c>
      <c r="Q13" s="4">
        <v>5</v>
      </c>
      <c r="R13" s="4">
        <v>25</v>
      </c>
      <c r="S13" s="4" t="str">
        <f t="shared" si="0"/>
        <v>Must Watch</v>
      </c>
      <c r="T13" s="16">
        <f t="shared" si="1"/>
        <v>4</v>
      </c>
    </row>
    <row r="14" spans="1:20" x14ac:dyDescent="0.35">
      <c r="A14" s="14" t="s">
        <v>179</v>
      </c>
      <c r="B14" s="4" t="s">
        <v>180</v>
      </c>
      <c r="C14" s="4" t="s">
        <v>6</v>
      </c>
      <c r="D14" s="4">
        <v>2018</v>
      </c>
      <c r="E14" s="4">
        <v>1.9</v>
      </c>
      <c r="F14" s="4" t="s">
        <v>26</v>
      </c>
      <c r="G14" s="4">
        <v>1</v>
      </c>
      <c r="H14" s="4">
        <v>1.8</v>
      </c>
      <c r="I14" s="4">
        <v>3.1</v>
      </c>
      <c r="J14" s="4" t="s">
        <v>31</v>
      </c>
      <c r="K14" s="4" t="s">
        <v>32</v>
      </c>
      <c r="L14" s="4">
        <v>1000</v>
      </c>
      <c r="M14" s="4">
        <v>1800</v>
      </c>
      <c r="N14" s="4">
        <v>3100</v>
      </c>
      <c r="O14" s="4">
        <v>1800</v>
      </c>
      <c r="P14" s="4">
        <v>3100</v>
      </c>
      <c r="Q14" s="4">
        <v>22.5</v>
      </c>
      <c r="R14" s="4">
        <v>38.75</v>
      </c>
      <c r="S14" s="4" t="str">
        <f t="shared" si="0"/>
        <v>Skip</v>
      </c>
      <c r="T14" s="16">
        <f t="shared" si="1"/>
        <v>0.72222222222222221</v>
      </c>
    </row>
    <row r="15" spans="1:20" x14ac:dyDescent="0.35">
      <c r="A15" s="14" t="s">
        <v>181</v>
      </c>
      <c r="B15" s="4" t="s">
        <v>182</v>
      </c>
      <c r="C15" s="4" t="s">
        <v>6</v>
      </c>
      <c r="D15" s="4">
        <v>2021</v>
      </c>
      <c r="E15" s="4">
        <v>7.6</v>
      </c>
      <c r="F15" s="4" t="s">
        <v>22</v>
      </c>
      <c r="G15" s="4">
        <v>2</v>
      </c>
      <c r="H15" s="4">
        <v>2</v>
      </c>
      <c r="I15" s="4">
        <v>3.6</v>
      </c>
      <c r="J15" s="4" t="s">
        <v>31</v>
      </c>
      <c r="K15" s="4" t="s">
        <v>32</v>
      </c>
      <c r="L15" s="4">
        <v>1000</v>
      </c>
      <c r="M15" s="4">
        <v>2000</v>
      </c>
      <c r="N15" s="4">
        <v>3600</v>
      </c>
      <c r="O15" s="4">
        <v>2000</v>
      </c>
      <c r="P15" s="4">
        <v>3600</v>
      </c>
      <c r="Q15" s="4">
        <v>25</v>
      </c>
      <c r="R15" s="4">
        <v>45</v>
      </c>
      <c r="S15" s="4" t="str">
        <f t="shared" si="0"/>
        <v>Worth of watch</v>
      </c>
      <c r="T15" s="16">
        <f t="shared" si="1"/>
        <v>0.8</v>
      </c>
    </row>
    <row r="16" spans="1:20" x14ac:dyDescent="0.35">
      <c r="A16" s="14" t="s">
        <v>183</v>
      </c>
      <c r="B16" s="4" t="s">
        <v>184</v>
      </c>
      <c r="C16" s="4" t="s">
        <v>6</v>
      </c>
      <c r="D16" s="4">
        <v>2022</v>
      </c>
      <c r="E16" s="4">
        <v>8</v>
      </c>
      <c r="F16" s="4" t="s">
        <v>23</v>
      </c>
      <c r="G16" s="4">
        <v>2</v>
      </c>
      <c r="H16" s="4">
        <v>5.5</v>
      </c>
      <c r="I16" s="4">
        <v>12</v>
      </c>
      <c r="J16" s="4" t="s">
        <v>31</v>
      </c>
      <c r="K16" s="4" t="s">
        <v>32</v>
      </c>
      <c r="L16" s="4">
        <v>1000</v>
      </c>
      <c r="M16" s="4">
        <v>5500</v>
      </c>
      <c r="N16" s="4">
        <v>12000</v>
      </c>
      <c r="O16" s="4">
        <v>5500</v>
      </c>
      <c r="P16" s="4">
        <v>12000</v>
      </c>
      <c r="Q16" s="4">
        <v>68.75</v>
      </c>
      <c r="R16" s="4">
        <v>150</v>
      </c>
      <c r="S16" s="4" t="str">
        <f t="shared" si="0"/>
        <v>Must Watch</v>
      </c>
      <c r="T16" s="16">
        <f t="shared" si="1"/>
        <v>1.1818181818181819</v>
      </c>
    </row>
    <row r="17" spans="1:20" x14ac:dyDescent="0.35">
      <c r="A17" s="14" t="s">
        <v>185</v>
      </c>
      <c r="B17" s="4" t="s">
        <v>186</v>
      </c>
      <c r="C17" s="4" t="s">
        <v>6</v>
      </c>
      <c r="D17" s="4">
        <v>2015</v>
      </c>
      <c r="E17" s="4">
        <v>8</v>
      </c>
      <c r="F17" s="4" t="s">
        <v>24</v>
      </c>
      <c r="G17" s="4">
        <v>2</v>
      </c>
      <c r="H17" s="4">
        <v>1.8</v>
      </c>
      <c r="I17" s="4">
        <v>6.5</v>
      </c>
      <c r="J17" s="4" t="s">
        <v>31</v>
      </c>
      <c r="K17" s="4" t="s">
        <v>32</v>
      </c>
      <c r="L17" s="4">
        <v>1000</v>
      </c>
      <c r="M17" s="4">
        <v>1800</v>
      </c>
      <c r="N17" s="4">
        <v>6500</v>
      </c>
      <c r="O17" s="4">
        <v>1800</v>
      </c>
      <c r="P17" s="4">
        <v>6500</v>
      </c>
      <c r="Q17" s="4">
        <v>22.5</v>
      </c>
      <c r="R17" s="4">
        <v>81.25</v>
      </c>
      <c r="S17" s="4" t="str">
        <f t="shared" si="0"/>
        <v>Must Watch</v>
      </c>
      <c r="T17" s="16">
        <f t="shared" si="1"/>
        <v>2.6111111111111112</v>
      </c>
    </row>
    <row r="18" spans="1:20" x14ac:dyDescent="0.35">
      <c r="A18" s="14" t="s">
        <v>187</v>
      </c>
      <c r="B18" s="4" t="s">
        <v>188</v>
      </c>
      <c r="C18" s="4" t="s">
        <v>6</v>
      </c>
      <c r="D18" s="4">
        <v>2022</v>
      </c>
      <c r="E18" s="4">
        <v>8.4</v>
      </c>
      <c r="F18" s="4" t="s">
        <v>189</v>
      </c>
      <c r="G18" s="4">
        <v>3</v>
      </c>
      <c r="H18" s="4">
        <v>1</v>
      </c>
      <c r="I18" s="4">
        <v>12.5</v>
      </c>
      <c r="J18" s="4" t="s">
        <v>31</v>
      </c>
      <c r="K18" s="4" t="s">
        <v>32</v>
      </c>
      <c r="L18" s="4">
        <v>1000</v>
      </c>
      <c r="M18" s="4">
        <v>1000</v>
      </c>
      <c r="N18" s="4">
        <v>12500</v>
      </c>
      <c r="O18" s="4">
        <v>1000</v>
      </c>
      <c r="P18" s="4">
        <v>12500</v>
      </c>
      <c r="Q18" s="4">
        <v>12.5</v>
      </c>
      <c r="R18" s="4">
        <v>156.25</v>
      </c>
      <c r="S18" s="4" t="str">
        <f t="shared" si="0"/>
        <v>Must Watch</v>
      </c>
      <c r="T18" s="16">
        <f t="shared" si="1"/>
        <v>11.5</v>
      </c>
    </row>
    <row r="19" spans="1:20" x14ac:dyDescent="0.35">
      <c r="A19" s="14" t="s">
        <v>190</v>
      </c>
      <c r="B19" s="4" t="s">
        <v>191</v>
      </c>
      <c r="C19" s="4" t="s">
        <v>7</v>
      </c>
      <c r="D19" s="4">
        <v>2018</v>
      </c>
      <c r="E19" s="4">
        <v>8.4</v>
      </c>
      <c r="F19" s="4" t="s">
        <v>8</v>
      </c>
      <c r="G19" s="4">
        <v>5</v>
      </c>
      <c r="H19" s="4">
        <v>400</v>
      </c>
      <c r="I19" s="4">
        <v>2048</v>
      </c>
      <c r="J19" s="4" t="s">
        <v>33</v>
      </c>
      <c r="K19" s="4" t="s">
        <v>34</v>
      </c>
      <c r="L19" s="4">
        <v>1</v>
      </c>
      <c r="M19" s="4">
        <v>400</v>
      </c>
      <c r="N19" s="4">
        <v>2048</v>
      </c>
      <c r="O19" s="4">
        <v>32000</v>
      </c>
      <c r="P19" s="4">
        <v>163840</v>
      </c>
      <c r="Q19" s="4">
        <v>400</v>
      </c>
      <c r="R19" s="4">
        <v>2048</v>
      </c>
      <c r="S19" s="4" t="str">
        <f t="shared" si="0"/>
        <v>Must Watch</v>
      </c>
      <c r="T19" s="16">
        <f t="shared" si="1"/>
        <v>4.12</v>
      </c>
    </row>
    <row r="20" spans="1:20" x14ac:dyDescent="0.35">
      <c r="A20" s="14" t="s">
        <v>192</v>
      </c>
      <c r="B20" s="4" t="s">
        <v>193</v>
      </c>
      <c r="C20" s="4" t="s">
        <v>7</v>
      </c>
      <c r="D20" s="4">
        <v>2010</v>
      </c>
      <c r="E20" s="4">
        <v>8.8000000000000007</v>
      </c>
      <c r="F20" s="4" t="s">
        <v>14</v>
      </c>
      <c r="G20" s="4">
        <v>5</v>
      </c>
      <c r="H20" s="4"/>
      <c r="I20" s="4"/>
      <c r="J20" s="4"/>
      <c r="K20" s="4"/>
      <c r="L20" s="4">
        <v>1</v>
      </c>
      <c r="M20" s="4"/>
      <c r="N20" s="4"/>
      <c r="O20" s="4"/>
      <c r="P20" s="4"/>
      <c r="Q20" s="4"/>
      <c r="R20" s="4"/>
      <c r="S20" s="4" t="str">
        <f t="shared" si="0"/>
        <v>Must Watch</v>
      </c>
      <c r="T20" s="16" t="str">
        <f t="shared" si="1"/>
        <v/>
      </c>
    </row>
    <row r="21" spans="1:20" x14ac:dyDescent="0.35">
      <c r="A21" s="14" t="s">
        <v>194</v>
      </c>
      <c r="B21" s="4" t="s">
        <v>195</v>
      </c>
      <c r="C21" s="4" t="s">
        <v>7</v>
      </c>
      <c r="D21" s="4">
        <v>2014</v>
      </c>
      <c r="E21" s="4">
        <v>7.8</v>
      </c>
      <c r="F21" s="4" t="s">
        <v>8</v>
      </c>
      <c r="G21" s="4">
        <v>5</v>
      </c>
      <c r="H21" s="4">
        <v>177</v>
      </c>
      <c r="I21" s="4">
        <v>714.4</v>
      </c>
      <c r="J21" s="4" t="s">
        <v>33</v>
      </c>
      <c r="K21" s="4" t="s">
        <v>34</v>
      </c>
      <c r="L21" s="4">
        <v>1</v>
      </c>
      <c r="M21" s="4">
        <v>177</v>
      </c>
      <c r="N21" s="4">
        <v>714.4</v>
      </c>
      <c r="O21" s="4">
        <v>14160</v>
      </c>
      <c r="P21" s="4">
        <v>57152</v>
      </c>
      <c r="Q21" s="4">
        <v>177</v>
      </c>
      <c r="R21" s="4">
        <v>714.4</v>
      </c>
      <c r="S21" s="4" t="str">
        <f t="shared" si="0"/>
        <v>Worth of watch</v>
      </c>
      <c r="T21" s="16">
        <f t="shared" si="1"/>
        <v>3.0361581920903955</v>
      </c>
    </row>
    <row r="22" spans="1:20" x14ac:dyDescent="0.35">
      <c r="A22" s="14" t="s">
        <v>196</v>
      </c>
      <c r="B22" s="4" t="s">
        <v>197</v>
      </c>
      <c r="C22" s="4" t="s">
        <v>7</v>
      </c>
      <c r="D22" s="4">
        <v>2011</v>
      </c>
      <c r="E22" s="4">
        <v>6.9</v>
      </c>
      <c r="F22" s="4" t="s">
        <v>8</v>
      </c>
      <c r="G22" s="4">
        <v>5</v>
      </c>
      <c r="H22" s="4">
        <v>216.7</v>
      </c>
      <c r="I22" s="4">
        <v>370.6</v>
      </c>
      <c r="J22" s="4" t="s">
        <v>33</v>
      </c>
      <c r="K22" s="4" t="s">
        <v>34</v>
      </c>
      <c r="L22" s="4">
        <v>1</v>
      </c>
      <c r="M22" s="4">
        <v>216.7</v>
      </c>
      <c r="N22" s="4">
        <v>370.6</v>
      </c>
      <c r="O22" s="4">
        <v>17336</v>
      </c>
      <c r="P22" s="4">
        <v>29648</v>
      </c>
      <c r="Q22" s="4">
        <v>216.7</v>
      </c>
      <c r="R22" s="4">
        <v>370.6</v>
      </c>
      <c r="S22" s="4" t="str">
        <f t="shared" si="0"/>
        <v>Worth of watch</v>
      </c>
      <c r="T22" s="16">
        <f t="shared" si="1"/>
        <v>0.71019843101061397</v>
      </c>
    </row>
    <row r="23" spans="1:20" x14ac:dyDescent="0.35">
      <c r="A23" s="14" t="s">
        <v>198</v>
      </c>
      <c r="B23" s="4" t="s">
        <v>199</v>
      </c>
      <c r="C23" s="4" t="s">
        <v>7</v>
      </c>
      <c r="D23" s="4">
        <v>2019</v>
      </c>
      <c r="E23" s="4">
        <v>8.4</v>
      </c>
      <c r="F23" s="4" t="s">
        <v>8</v>
      </c>
      <c r="G23" s="4">
        <v>5</v>
      </c>
      <c r="H23" s="4">
        <v>400</v>
      </c>
      <c r="I23" s="4">
        <v>2798</v>
      </c>
      <c r="J23" s="4" t="s">
        <v>33</v>
      </c>
      <c r="K23" s="4" t="s">
        <v>34</v>
      </c>
      <c r="L23" s="4">
        <v>1</v>
      </c>
      <c r="M23" s="4">
        <v>400</v>
      </c>
      <c r="N23" s="4">
        <v>2798</v>
      </c>
      <c r="O23" s="4">
        <v>32000</v>
      </c>
      <c r="P23" s="4">
        <v>223840</v>
      </c>
      <c r="Q23" s="4">
        <v>400</v>
      </c>
      <c r="R23" s="4">
        <v>2798</v>
      </c>
      <c r="S23" s="4" t="str">
        <f t="shared" si="0"/>
        <v>Must Watch</v>
      </c>
      <c r="T23" s="16">
        <f t="shared" si="1"/>
        <v>5.9950000000000001</v>
      </c>
    </row>
    <row r="24" spans="1:20" x14ac:dyDescent="0.35">
      <c r="A24" s="14" t="s">
        <v>200</v>
      </c>
      <c r="B24" s="4" t="s">
        <v>201</v>
      </c>
      <c r="C24" s="4" t="s">
        <v>7</v>
      </c>
      <c r="D24" s="4">
        <v>2014</v>
      </c>
      <c r="E24" s="4">
        <v>8.6</v>
      </c>
      <c r="F24" s="4" t="s">
        <v>14</v>
      </c>
      <c r="G24" s="4">
        <v>5</v>
      </c>
      <c r="H24" s="4">
        <v>165</v>
      </c>
      <c r="I24" s="4">
        <v>701.8</v>
      </c>
      <c r="J24" s="4" t="s">
        <v>33</v>
      </c>
      <c r="K24" s="4" t="s">
        <v>34</v>
      </c>
      <c r="L24" s="4">
        <v>1</v>
      </c>
      <c r="M24" s="4">
        <v>165</v>
      </c>
      <c r="N24" s="4">
        <v>701.8</v>
      </c>
      <c r="O24" s="4">
        <v>13200</v>
      </c>
      <c r="P24" s="4">
        <v>56144</v>
      </c>
      <c r="Q24" s="4">
        <v>165</v>
      </c>
      <c r="R24" s="4">
        <v>701.8</v>
      </c>
      <c r="S24" s="4" t="str">
        <f t="shared" si="0"/>
        <v>Must Watch</v>
      </c>
      <c r="T24" s="16">
        <f t="shared" si="1"/>
        <v>3.253333333333333</v>
      </c>
    </row>
    <row r="25" spans="1:20" x14ac:dyDescent="0.35">
      <c r="A25" s="14" t="s">
        <v>202</v>
      </c>
      <c r="B25" s="4" t="s">
        <v>251</v>
      </c>
      <c r="C25" s="4" t="s">
        <v>7</v>
      </c>
      <c r="D25" s="4">
        <v>1994</v>
      </c>
      <c r="E25" s="4">
        <v>9.3000000000000007</v>
      </c>
      <c r="F25" s="4" t="s">
        <v>13</v>
      </c>
      <c r="G25" s="4">
        <v>5</v>
      </c>
      <c r="H25" s="4">
        <v>25</v>
      </c>
      <c r="I25" s="4">
        <v>73.3</v>
      </c>
      <c r="J25" s="4" t="s">
        <v>33</v>
      </c>
      <c r="K25" s="4" t="s">
        <v>34</v>
      </c>
      <c r="L25" s="4">
        <v>1</v>
      </c>
      <c r="M25" s="4">
        <v>25</v>
      </c>
      <c r="N25" s="4">
        <v>73.3</v>
      </c>
      <c r="O25" s="4">
        <v>2000</v>
      </c>
      <c r="P25" s="4">
        <v>5864</v>
      </c>
      <c r="Q25" s="4">
        <v>25</v>
      </c>
      <c r="R25" s="4">
        <v>73.3</v>
      </c>
      <c r="S25" s="4" t="str">
        <f t="shared" si="0"/>
        <v>Must Watch</v>
      </c>
      <c r="T25" s="16">
        <f t="shared" si="1"/>
        <v>1.9319999999999999</v>
      </c>
    </row>
    <row r="26" spans="1:20" x14ac:dyDescent="0.35">
      <c r="A26" s="14" t="s">
        <v>203</v>
      </c>
      <c r="B26" s="4" t="s">
        <v>204</v>
      </c>
      <c r="C26" s="4" t="s">
        <v>7</v>
      </c>
      <c r="D26" s="4">
        <v>2000</v>
      </c>
      <c r="E26" s="4">
        <v>8.5</v>
      </c>
      <c r="F26" s="4" t="s">
        <v>20</v>
      </c>
      <c r="G26" s="4">
        <v>5</v>
      </c>
      <c r="H26" s="4">
        <v>103</v>
      </c>
      <c r="I26" s="4">
        <v>460.5</v>
      </c>
      <c r="J26" s="4" t="s">
        <v>33</v>
      </c>
      <c r="K26" s="4" t="s">
        <v>34</v>
      </c>
      <c r="L26" s="4">
        <v>1</v>
      </c>
      <c r="M26" s="4">
        <v>103</v>
      </c>
      <c r="N26" s="4">
        <v>460.5</v>
      </c>
      <c r="O26" s="4">
        <v>8240</v>
      </c>
      <c r="P26" s="4">
        <v>36840</v>
      </c>
      <c r="Q26" s="4">
        <v>103</v>
      </c>
      <c r="R26" s="4">
        <v>460.5</v>
      </c>
      <c r="S26" s="4" t="str">
        <f t="shared" si="0"/>
        <v>Must Watch</v>
      </c>
      <c r="T26" s="16">
        <f t="shared" si="1"/>
        <v>3.470873786407767</v>
      </c>
    </row>
    <row r="27" spans="1:20" x14ac:dyDescent="0.35">
      <c r="A27" s="14" t="s">
        <v>205</v>
      </c>
      <c r="B27" s="4" t="s">
        <v>206</v>
      </c>
      <c r="C27" s="4" t="s">
        <v>7</v>
      </c>
      <c r="D27" s="4">
        <v>2006</v>
      </c>
      <c r="E27" s="4">
        <v>8</v>
      </c>
      <c r="F27" s="4" t="s">
        <v>15</v>
      </c>
      <c r="G27" s="4">
        <v>5</v>
      </c>
      <c r="H27" s="4">
        <v>55</v>
      </c>
      <c r="I27" s="4">
        <v>307.10000000000002</v>
      </c>
      <c r="J27" s="4" t="s">
        <v>33</v>
      </c>
      <c r="K27" s="4" t="s">
        <v>34</v>
      </c>
      <c r="L27" s="4">
        <v>1</v>
      </c>
      <c r="M27" s="4">
        <v>55</v>
      </c>
      <c r="N27" s="4">
        <v>307.10000000000002</v>
      </c>
      <c r="O27" s="4">
        <v>4400</v>
      </c>
      <c r="P27" s="4">
        <v>24568</v>
      </c>
      <c r="Q27" s="4">
        <v>55</v>
      </c>
      <c r="R27" s="4">
        <v>307.10000000000002</v>
      </c>
      <c r="S27" s="4" t="str">
        <f t="shared" si="0"/>
        <v>Must Watch</v>
      </c>
      <c r="T27" s="16">
        <f t="shared" si="1"/>
        <v>4.583636363636364</v>
      </c>
    </row>
    <row r="28" spans="1:20" x14ac:dyDescent="0.35">
      <c r="A28" s="14" t="s">
        <v>207</v>
      </c>
      <c r="B28" s="4" t="s">
        <v>252</v>
      </c>
      <c r="C28" s="4" t="s">
        <v>7</v>
      </c>
      <c r="D28" s="4">
        <v>2013</v>
      </c>
      <c r="E28" s="4">
        <v>6.8</v>
      </c>
      <c r="F28" s="4" t="s">
        <v>8</v>
      </c>
      <c r="G28" s="4">
        <v>5</v>
      </c>
      <c r="H28" s="4">
        <v>165</v>
      </c>
      <c r="I28" s="4">
        <v>644.79999999999995</v>
      </c>
      <c r="J28" s="4" t="s">
        <v>33</v>
      </c>
      <c r="K28" s="4" t="s">
        <v>34</v>
      </c>
      <c r="L28" s="4">
        <v>1</v>
      </c>
      <c r="M28" s="4">
        <v>165</v>
      </c>
      <c r="N28" s="4">
        <v>644.79999999999995</v>
      </c>
      <c r="O28" s="4">
        <v>13200</v>
      </c>
      <c r="P28" s="4">
        <v>51584</v>
      </c>
      <c r="Q28" s="4">
        <v>165</v>
      </c>
      <c r="R28" s="4">
        <v>644.79999999999995</v>
      </c>
      <c r="S28" s="4" t="str">
        <f t="shared" si="0"/>
        <v>Worth of watch</v>
      </c>
      <c r="T28" s="16">
        <f t="shared" si="1"/>
        <v>2.9078787878787877</v>
      </c>
    </row>
    <row r="29" spans="1:20" x14ac:dyDescent="0.35">
      <c r="A29" s="14" t="s">
        <v>208</v>
      </c>
      <c r="B29" s="4" t="s">
        <v>209</v>
      </c>
      <c r="C29" s="4" t="s">
        <v>7</v>
      </c>
      <c r="D29" s="4">
        <v>2022</v>
      </c>
      <c r="E29" s="4">
        <v>7</v>
      </c>
      <c r="F29" s="4" t="s">
        <v>8</v>
      </c>
      <c r="G29" s="4">
        <v>5</v>
      </c>
      <c r="H29" s="4">
        <v>200</v>
      </c>
      <c r="I29" s="4">
        <v>954.8</v>
      </c>
      <c r="J29" s="4" t="s">
        <v>33</v>
      </c>
      <c r="K29" s="4" t="s">
        <v>34</v>
      </c>
      <c r="L29" s="4">
        <v>1</v>
      </c>
      <c r="M29" s="4">
        <v>200</v>
      </c>
      <c r="N29" s="4">
        <v>954.8</v>
      </c>
      <c r="O29" s="4">
        <v>16000</v>
      </c>
      <c r="P29" s="4">
        <v>76384</v>
      </c>
      <c r="Q29" s="4">
        <v>200</v>
      </c>
      <c r="R29" s="4">
        <v>954.8</v>
      </c>
      <c r="S29" s="4" t="str">
        <f t="shared" si="0"/>
        <v>Worth of watch</v>
      </c>
      <c r="T29" s="16">
        <f t="shared" si="1"/>
        <v>3.7739999999999996</v>
      </c>
    </row>
    <row r="30" spans="1:20" x14ac:dyDescent="0.35">
      <c r="A30" s="14" t="s">
        <v>210</v>
      </c>
      <c r="B30" s="4" t="s">
        <v>253</v>
      </c>
      <c r="C30" s="4" t="s">
        <v>7</v>
      </c>
      <c r="D30" s="4">
        <v>2022</v>
      </c>
      <c r="E30" s="4">
        <v>6.8</v>
      </c>
      <c r="F30" s="4" t="s">
        <v>8</v>
      </c>
      <c r="G30" s="4">
        <v>5</v>
      </c>
      <c r="H30" s="4">
        <v>250</v>
      </c>
      <c r="I30" s="4">
        <v>670</v>
      </c>
      <c r="J30" s="4" t="s">
        <v>33</v>
      </c>
      <c r="K30" s="4" t="s">
        <v>34</v>
      </c>
      <c r="L30" s="4">
        <v>1</v>
      </c>
      <c r="M30" s="4">
        <v>250</v>
      </c>
      <c r="N30" s="4">
        <v>670</v>
      </c>
      <c r="O30" s="4">
        <v>20000</v>
      </c>
      <c r="P30" s="4">
        <v>53600</v>
      </c>
      <c r="Q30" s="4">
        <v>250</v>
      </c>
      <c r="R30" s="4">
        <v>670</v>
      </c>
      <c r="S30" s="4" t="str">
        <f t="shared" si="0"/>
        <v>Worth of watch</v>
      </c>
      <c r="T30" s="16">
        <f t="shared" si="1"/>
        <v>1.68</v>
      </c>
    </row>
    <row r="31" spans="1:20" x14ac:dyDescent="0.35">
      <c r="A31" s="14" t="s">
        <v>211</v>
      </c>
      <c r="B31" s="4" t="s">
        <v>254</v>
      </c>
      <c r="C31" s="4" t="s">
        <v>7</v>
      </c>
      <c r="D31" s="4">
        <v>2017</v>
      </c>
      <c r="E31" s="4">
        <v>7.9</v>
      </c>
      <c r="F31" s="4" t="s">
        <v>8</v>
      </c>
      <c r="G31" s="4">
        <v>5</v>
      </c>
      <c r="H31" s="4">
        <v>180</v>
      </c>
      <c r="I31" s="4">
        <v>854</v>
      </c>
      <c r="J31" s="4" t="s">
        <v>33</v>
      </c>
      <c r="K31" s="4" t="s">
        <v>34</v>
      </c>
      <c r="L31" s="4">
        <v>1</v>
      </c>
      <c r="M31" s="4">
        <v>180</v>
      </c>
      <c r="N31" s="4">
        <v>854</v>
      </c>
      <c r="O31" s="4">
        <v>14400</v>
      </c>
      <c r="P31" s="4">
        <v>68320</v>
      </c>
      <c r="Q31" s="4">
        <v>180</v>
      </c>
      <c r="R31" s="4">
        <v>854</v>
      </c>
      <c r="S31" s="4" t="str">
        <f t="shared" si="0"/>
        <v>Worth of watch</v>
      </c>
      <c r="T31" s="16">
        <f t="shared" si="1"/>
        <v>3.7444444444444445</v>
      </c>
    </row>
    <row r="32" spans="1:20" x14ac:dyDescent="0.35">
      <c r="A32" s="14" t="s">
        <v>212</v>
      </c>
      <c r="B32" s="4" t="s">
        <v>213</v>
      </c>
      <c r="C32" s="4" t="s">
        <v>7</v>
      </c>
      <c r="D32" s="4">
        <v>1997</v>
      </c>
      <c r="E32" s="4">
        <v>7.9</v>
      </c>
      <c r="F32" s="4" t="s">
        <v>16</v>
      </c>
      <c r="G32" s="4">
        <v>5</v>
      </c>
      <c r="H32" s="4">
        <v>200</v>
      </c>
      <c r="I32" s="4">
        <v>2202</v>
      </c>
      <c r="J32" s="4" t="s">
        <v>33</v>
      </c>
      <c r="K32" s="4" t="s">
        <v>34</v>
      </c>
      <c r="L32" s="4">
        <v>1</v>
      </c>
      <c r="M32" s="4">
        <v>200</v>
      </c>
      <c r="N32" s="4">
        <v>2202</v>
      </c>
      <c r="O32" s="4">
        <v>16000</v>
      </c>
      <c r="P32" s="4">
        <v>176160</v>
      </c>
      <c r="Q32" s="4">
        <v>200</v>
      </c>
      <c r="R32" s="4">
        <v>2202</v>
      </c>
      <c r="S32" s="4" t="str">
        <f t="shared" si="0"/>
        <v>Worth of watch</v>
      </c>
      <c r="T32" s="16">
        <f t="shared" si="1"/>
        <v>10.01</v>
      </c>
    </row>
    <row r="33" spans="1:20" x14ac:dyDescent="0.35">
      <c r="A33" s="14" t="s">
        <v>214</v>
      </c>
      <c r="B33" s="4" t="s">
        <v>215</v>
      </c>
      <c r="C33" s="4" t="s">
        <v>7</v>
      </c>
      <c r="D33" s="4">
        <v>1993</v>
      </c>
      <c r="E33" s="4">
        <v>9</v>
      </c>
      <c r="F33" s="4" t="s">
        <v>20</v>
      </c>
      <c r="G33" s="4">
        <v>5</v>
      </c>
      <c r="H33" s="4">
        <v>22</v>
      </c>
      <c r="I33" s="4">
        <v>322.2</v>
      </c>
      <c r="J33" s="4" t="s">
        <v>33</v>
      </c>
      <c r="K33" s="4" t="s">
        <v>34</v>
      </c>
      <c r="L33" s="4">
        <v>1</v>
      </c>
      <c r="M33" s="4">
        <v>22</v>
      </c>
      <c r="N33" s="4">
        <v>322.2</v>
      </c>
      <c r="O33" s="4">
        <v>1760</v>
      </c>
      <c r="P33" s="4">
        <v>25776</v>
      </c>
      <c r="Q33" s="4">
        <v>22</v>
      </c>
      <c r="R33" s="4">
        <v>322.2</v>
      </c>
      <c r="S33" s="4" t="str">
        <f t="shared" si="0"/>
        <v>Must Watch</v>
      </c>
      <c r="T33" s="16">
        <f t="shared" si="1"/>
        <v>13.645454545454545</v>
      </c>
    </row>
    <row r="34" spans="1:20" x14ac:dyDescent="0.35">
      <c r="A34" s="14" t="s">
        <v>216</v>
      </c>
      <c r="B34" s="4" t="s">
        <v>217</v>
      </c>
      <c r="C34" s="4" t="s">
        <v>7</v>
      </c>
      <c r="D34" s="4">
        <v>1993</v>
      </c>
      <c r="E34" s="4">
        <v>8.1999999999999993</v>
      </c>
      <c r="F34" s="4" t="s">
        <v>20</v>
      </c>
      <c r="G34" s="4">
        <v>5</v>
      </c>
      <c r="H34" s="4">
        <v>63</v>
      </c>
      <c r="I34" s="4">
        <v>1046</v>
      </c>
      <c r="J34" s="4" t="s">
        <v>33</v>
      </c>
      <c r="K34" s="4" t="s">
        <v>34</v>
      </c>
      <c r="L34" s="4">
        <v>1</v>
      </c>
      <c r="M34" s="4">
        <v>63</v>
      </c>
      <c r="N34" s="4">
        <v>1046</v>
      </c>
      <c r="O34" s="4">
        <v>5040</v>
      </c>
      <c r="P34" s="4">
        <v>83680</v>
      </c>
      <c r="Q34" s="4">
        <v>63</v>
      </c>
      <c r="R34" s="4">
        <v>1046</v>
      </c>
      <c r="S34" s="4" t="str">
        <f t="shared" si="0"/>
        <v>Must Watch</v>
      </c>
      <c r="T34" s="16">
        <f t="shared" si="1"/>
        <v>15.603174603174603</v>
      </c>
    </row>
    <row r="35" spans="1:20" x14ac:dyDescent="0.35">
      <c r="A35" s="14" t="s">
        <v>218</v>
      </c>
      <c r="B35" s="4" t="s">
        <v>219</v>
      </c>
      <c r="C35" s="4" t="s">
        <v>7</v>
      </c>
      <c r="D35" s="4">
        <v>2019</v>
      </c>
      <c r="E35" s="4">
        <v>8.5</v>
      </c>
      <c r="F35" s="4" t="s">
        <v>158</v>
      </c>
      <c r="G35" s="4">
        <v>5</v>
      </c>
      <c r="H35" s="4">
        <v>15.5</v>
      </c>
      <c r="I35" s="4">
        <v>263.10000000000002</v>
      </c>
      <c r="J35" s="4" t="s">
        <v>33</v>
      </c>
      <c r="K35" s="4" t="s">
        <v>34</v>
      </c>
      <c r="L35" s="4">
        <v>1</v>
      </c>
      <c r="M35" s="4">
        <v>15.5</v>
      </c>
      <c r="N35" s="4">
        <v>263.10000000000002</v>
      </c>
      <c r="O35" s="4">
        <v>1240</v>
      </c>
      <c r="P35" s="4">
        <v>21048</v>
      </c>
      <c r="Q35" s="4">
        <v>15.5</v>
      </c>
      <c r="R35" s="4">
        <v>263.10000000000002</v>
      </c>
      <c r="S35" s="4" t="str">
        <f t="shared" si="0"/>
        <v>Must Watch</v>
      </c>
      <c r="T35" s="16">
        <f t="shared" si="1"/>
        <v>15.974193548387099</v>
      </c>
    </row>
    <row r="36" spans="1:20" x14ac:dyDescent="0.35">
      <c r="A36" s="14" t="s">
        <v>220</v>
      </c>
      <c r="B36" s="4" t="s">
        <v>221</v>
      </c>
      <c r="C36" s="4" t="s">
        <v>7</v>
      </c>
      <c r="D36" s="4">
        <v>2008</v>
      </c>
      <c r="E36" s="4">
        <v>9</v>
      </c>
      <c r="F36" s="4" t="s">
        <v>19</v>
      </c>
      <c r="G36" s="4">
        <v>5</v>
      </c>
      <c r="H36" s="4">
        <v>185</v>
      </c>
      <c r="I36" s="4">
        <v>1006</v>
      </c>
      <c r="J36" s="4" t="s">
        <v>33</v>
      </c>
      <c r="K36" s="4" t="s">
        <v>34</v>
      </c>
      <c r="L36" s="4">
        <v>1</v>
      </c>
      <c r="M36" s="4">
        <v>185</v>
      </c>
      <c r="N36" s="4">
        <v>1006</v>
      </c>
      <c r="O36" s="4">
        <v>14800</v>
      </c>
      <c r="P36" s="4">
        <v>80480</v>
      </c>
      <c r="Q36" s="4">
        <v>185</v>
      </c>
      <c r="R36" s="4">
        <v>1006</v>
      </c>
      <c r="S36" s="4" t="str">
        <f t="shared" si="0"/>
        <v>Must Watch</v>
      </c>
      <c r="T36" s="16">
        <f t="shared" si="1"/>
        <v>4.4378378378378383</v>
      </c>
    </row>
    <row r="37" spans="1:20" x14ac:dyDescent="0.35">
      <c r="A37" s="14" t="s">
        <v>222</v>
      </c>
      <c r="B37" s="4" t="s">
        <v>223</v>
      </c>
      <c r="C37" s="4" t="s">
        <v>7</v>
      </c>
      <c r="D37" s="4">
        <v>1946</v>
      </c>
      <c r="E37" s="4">
        <v>8.6</v>
      </c>
      <c r="F37" s="4" t="s">
        <v>17</v>
      </c>
      <c r="G37" s="4">
        <v>5</v>
      </c>
      <c r="H37" s="4">
        <v>3.18</v>
      </c>
      <c r="I37" s="4">
        <v>3.3</v>
      </c>
      <c r="J37" s="4" t="s">
        <v>33</v>
      </c>
      <c r="K37" s="4" t="s">
        <v>34</v>
      </c>
      <c r="L37" s="4">
        <v>1</v>
      </c>
      <c r="M37" s="4">
        <v>3.18</v>
      </c>
      <c r="N37" s="4">
        <v>3.3</v>
      </c>
      <c r="O37" s="4">
        <v>254.4</v>
      </c>
      <c r="P37" s="4">
        <v>264</v>
      </c>
      <c r="Q37" s="4">
        <v>3.18</v>
      </c>
      <c r="R37" s="4">
        <v>3.3</v>
      </c>
      <c r="S37" s="4" t="str">
        <f t="shared" si="0"/>
        <v>Must Watch</v>
      </c>
      <c r="T37" s="16">
        <f t="shared" si="1"/>
        <v>3.7735849056603668E-2</v>
      </c>
    </row>
    <row r="38" spans="1:20" x14ac:dyDescent="0.35">
      <c r="A38" s="14" t="s">
        <v>224</v>
      </c>
      <c r="B38" s="4" t="s">
        <v>225</v>
      </c>
      <c r="C38" s="4" t="s">
        <v>7</v>
      </c>
      <c r="D38" s="4">
        <v>2009</v>
      </c>
      <c r="E38" s="4">
        <v>7.8</v>
      </c>
      <c r="F38" s="4" t="s">
        <v>18</v>
      </c>
      <c r="G38" s="4">
        <v>5</v>
      </c>
      <c r="H38" s="4">
        <v>237</v>
      </c>
      <c r="I38" s="4">
        <v>2847</v>
      </c>
      <c r="J38" s="4" t="s">
        <v>33</v>
      </c>
      <c r="K38" s="4" t="s">
        <v>34</v>
      </c>
      <c r="L38" s="4">
        <v>1</v>
      </c>
      <c r="M38" s="4">
        <v>237</v>
      </c>
      <c r="N38" s="4">
        <v>2847</v>
      </c>
      <c r="O38" s="4">
        <v>18960</v>
      </c>
      <c r="P38" s="4">
        <v>227760</v>
      </c>
      <c r="Q38" s="4">
        <v>237</v>
      </c>
      <c r="R38" s="4">
        <v>2847</v>
      </c>
      <c r="S38" s="4" t="str">
        <f t="shared" si="0"/>
        <v>Worth of watch</v>
      </c>
      <c r="T38" s="16">
        <f t="shared" si="1"/>
        <v>11.012658227848101</v>
      </c>
    </row>
    <row r="39" spans="1:20" x14ac:dyDescent="0.35">
      <c r="A39" s="14" t="s">
        <v>226</v>
      </c>
      <c r="B39" s="4" t="s">
        <v>227</v>
      </c>
      <c r="C39" s="4" t="s">
        <v>7</v>
      </c>
      <c r="D39" s="4">
        <v>1972</v>
      </c>
      <c r="E39" s="4">
        <v>9.1999999999999993</v>
      </c>
      <c r="F39" s="4" t="s">
        <v>16</v>
      </c>
      <c r="G39" s="4">
        <v>5</v>
      </c>
      <c r="H39" s="4">
        <v>7.2</v>
      </c>
      <c r="I39" s="4">
        <v>291</v>
      </c>
      <c r="J39" s="4" t="s">
        <v>33</v>
      </c>
      <c r="K39" s="4" t="s">
        <v>34</v>
      </c>
      <c r="L39" s="4">
        <v>1</v>
      </c>
      <c r="M39" s="4">
        <v>7.2</v>
      </c>
      <c r="N39" s="4">
        <v>291</v>
      </c>
      <c r="O39" s="4">
        <v>576</v>
      </c>
      <c r="P39" s="4">
        <v>23280</v>
      </c>
      <c r="Q39" s="4">
        <v>7.2</v>
      </c>
      <c r="R39" s="4">
        <v>291</v>
      </c>
      <c r="S39" s="4" t="str">
        <f t="shared" si="0"/>
        <v>Must Watch</v>
      </c>
      <c r="T39" s="16">
        <f t="shared" si="1"/>
        <v>39.416666666666664</v>
      </c>
    </row>
    <row r="40" spans="1:20" x14ac:dyDescent="0.35">
      <c r="A40" s="14" t="s">
        <v>228</v>
      </c>
      <c r="B40" s="4" t="s">
        <v>229</v>
      </c>
      <c r="C40" s="4" t="s">
        <v>6</v>
      </c>
      <c r="D40" s="4">
        <v>1955</v>
      </c>
      <c r="E40" s="4">
        <v>8.3000000000000007</v>
      </c>
      <c r="F40" s="4" t="s">
        <v>230</v>
      </c>
      <c r="G40" s="4">
        <v>7</v>
      </c>
      <c r="H40" s="4">
        <v>70</v>
      </c>
      <c r="I40" s="4">
        <v>100</v>
      </c>
      <c r="J40" s="4" t="s">
        <v>33</v>
      </c>
      <c r="K40" s="4" t="s">
        <v>32</v>
      </c>
      <c r="L40" s="4">
        <v>1</v>
      </c>
      <c r="M40" s="4">
        <v>70</v>
      </c>
      <c r="N40" s="4">
        <v>100</v>
      </c>
      <c r="O40" s="4">
        <v>70</v>
      </c>
      <c r="P40" s="4">
        <v>100</v>
      </c>
      <c r="Q40" s="4">
        <v>0.875</v>
      </c>
      <c r="R40" s="4">
        <v>1.25</v>
      </c>
      <c r="S40" s="4" t="str">
        <f t="shared" si="0"/>
        <v>Must Watch</v>
      </c>
      <c r="T40" s="16">
        <f t="shared" si="1"/>
        <v>0.42857142857142855</v>
      </c>
    </row>
    <row r="41" spans="1:20" x14ac:dyDescent="0.35">
      <c r="A41" s="14" t="s">
        <v>231</v>
      </c>
      <c r="B41" s="4" t="s">
        <v>232</v>
      </c>
      <c r="C41" s="4" t="s">
        <v>6</v>
      </c>
      <c r="D41" s="4">
        <v>2018</v>
      </c>
      <c r="E41" s="4">
        <v>4.0999999999999996</v>
      </c>
      <c r="F41" s="4" t="s">
        <v>10</v>
      </c>
      <c r="G41" s="4">
        <v>1</v>
      </c>
      <c r="H41" s="4">
        <v>3</v>
      </c>
      <c r="I41" s="4">
        <v>1.5</v>
      </c>
      <c r="J41" s="4" t="s">
        <v>31</v>
      </c>
      <c r="K41" s="4" t="s">
        <v>32</v>
      </c>
      <c r="L41" s="4">
        <v>1000</v>
      </c>
      <c r="M41" s="4">
        <v>3000</v>
      </c>
      <c r="N41" s="4">
        <v>1500</v>
      </c>
      <c r="O41" s="4">
        <v>3000</v>
      </c>
      <c r="P41" s="4">
        <v>1500</v>
      </c>
      <c r="Q41" s="4">
        <v>37.5</v>
      </c>
      <c r="R41" s="4">
        <v>18.75</v>
      </c>
      <c r="S41" s="4" t="str">
        <f t="shared" si="0"/>
        <v>Skip</v>
      </c>
      <c r="T41" s="16">
        <f t="shared" si="1"/>
        <v>-0.5</v>
      </c>
    </row>
    <row r="42" spans="1:20" x14ac:dyDescent="0.35">
      <c r="A42" s="14" t="s">
        <v>233</v>
      </c>
      <c r="B42" s="4" t="s">
        <v>234</v>
      </c>
      <c r="C42" s="4" t="s">
        <v>6</v>
      </c>
      <c r="D42" s="4">
        <v>2022</v>
      </c>
      <c r="E42" s="4">
        <v>5.6</v>
      </c>
      <c r="F42" s="4" t="s">
        <v>10</v>
      </c>
      <c r="G42" s="4">
        <v>1</v>
      </c>
      <c r="H42" s="4">
        <v>1.5</v>
      </c>
      <c r="I42" s="4">
        <v>0.65</v>
      </c>
      <c r="J42" s="4" t="s">
        <v>31</v>
      </c>
      <c r="K42" s="4" t="s">
        <v>32</v>
      </c>
      <c r="L42" s="4">
        <v>1000</v>
      </c>
      <c r="M42" s="4">
        <v>1500</v>
      </c>
      <c r="N42" s="4">
        <v>650</v>
      </c>
      <c r="O42" s="4">
        <v>1500</v>
      </c>
      <c r="P42" s="4">
        <v>650</v>
      </c>
      <c r="Q42" s="4">
        <v>18.75</v>
      </c>
      <c r="R42" s="4">
        <v>8.125</v>
      </c>
      <c r="S42" s="4" t="str">
        <f t="shared" si="0"/>
        <v>Skip</v>
      </c>
      <c r="T42" s="16">
        <f t="shared" si="1"/>
        <v>-0.56666666666666665</v>
      </c>
    </row>
    <row r="43" spans="1:20" x14ac:dyDescent="0.35">
      <c r="A43" s="14" t="s">
        <v>235</v>
      </c>
      <c r="B43" s="4" t="s">
        <v>236</v>
      </c>
      <c r="C43" s="4" t="s">
        <v>7</v>
      </c>
      <c r="D43" s="4">
        <v>2019</v>
      </c>
      <c r="E43" s="4">
        <v>2.8</v>
      </c>
      <c r="F43" s="4" t="s">
        <v>20</v>
      </c>
      <c r="G43" s="4">
        <v>5</v>
      </c>
      <c r="H43" s="4">
        <v>95</v>
      </c>
      <c r="I43" s="4">
        <v>75.3</v>
      </c>
      <c r="J43" s="4" t="s">
        <v>33</v>
      </c>
      <c r="K43" s="4" t="s">
        <v>34</v>
      </c>
      <c r="L43" s="4">
        <v>1</v>
      </c>
      <c r="M43" s="4">
        <v>95</v>
      </c>
      <c r="N43" s="4">
        <v>75.3</v>
      </c>
      <c r="O43" s="4">
        <v>7600</v>
      </c>
      <c r="P43" s="4">
        <v>6024</v>
      </c>
      <c r="Q43" s="4">
        <v>95</v>
      </c>
      <c r="R43" s="4">
        <v>75.3</v>
      </c>
      <c r="S43" s="4" t="str">
        <f t="shared" si="0"/>
        <v>Skip</v>
      </c>
      <c r="T43" s="16">
        <f t="shared" si="1"/>
        <v>-0.20736842105263162</v>
      </c>
    </row>
    <row r="44" spans="1:20" x14ac:dyDescent="0.35">
      <c r="A44" s="14" t="s">
        <v>237</v>
      </c>
      <c r="B44" s="4" t="s">
        <v>238</v>
      </c>
      <c r="C44" s="4" t="s">
        <v>7</v>
      </c>
      <c r="D44" s="4">
        <v>2018</v>
      </c>
      <c r="E44" s="4">
        <v>6.1</v>
      </c>
      <c r="F44" s="4" t="s">
        <v>20</v>
      </c>
      <c r="G44" s="4">
        <v>5</v>
      </c>
      <c r="H44" s="4">
        <v>100</v>
      </c>
      <c r="I44" s="4">
        <v>83.7</v>
      </c>
      <c r="J44" s="4" t="s">
        <v>33</v>
      </c>
      <c r="K44" s="4" t="s">
        <v>34</v>
      </c>
      <c r="L44" s="4">
        <v>1</v>
      </c>
      <c r="M44" s="4">
        <v>100</v>
      </c>
      <c r="N44" s="4">
        <v>83.7</v>
      </c>
      <c r="O44" s="4">
        <v>8000</v>
      </c>
      <c r="P44" s="4">
        <v>6696</v>
      </c>
      <c r="Q44" s="4">
        <v>100</v>
      </c>
      <c r="R44" s="4">
        <v>83.7</v>
      </c>
      <c r="S44" s="4" t="str">
        <f t="shared" si="0"/>
        <v>Worth of watch</v>
      </c>
      <c r="T44" s="16">
        <f t="shared" si="1"/>
        <v>-0.16299999999999998</v>
      </c>
    </row>
  </sheetData>
  <conditionalFormatting sqref="A2:T44">
    <cfRule type="expression" priority="1"/>
  </conditionalFormatting>
  <conditionalFormatting sqref="A2:T44">
    <cfRule type="expression" dxfId="32" priority="2">
      <formula>$T2&lt;0</formula>
    </cfRule>
  </conditionalFormatting>
  <conditionalFormatting sqref="A2:T44">
    <cfRule type="expression" dxfId="31" priority="3">
      <formula>AND($T2&lt;&gt;"",$T2&gt;=10)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zoomScale="175" zoomScaleNormal="175" workbookViewId="0">
      <selection activeCell="C1" sqref="C1"/>
    </sheetView>
  </sheetViews>
  <sheetFormatPr defaultRowHeight="14.5" x14ac:dyDescent="0.35"/>
  <cols>
    <col min="1" max="1" width="44.81640625" bestFit="1" customWidth="1"/>
    <col min="2" max="2" width="10.54296875" bestFit="1" customWidth="1"/>
    <col min="3" max="3" width="14.7265625" customWidth="1"/>
    <col min="4" max="4" width="12.453125" customWidth="1"/>
    <col min="5" max="5" width="26.453125" bestFit="1" customWidth="1"/>
    <col min="6" max="6" width="12.453125" customWidth="1"/>
  </cols>
  <sheetData>
    <row r="1" spans="1:6" x14ac:dyDescent="0.35">
      <c r="A1" s="3" t="s">
        <v>114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4" t="s">
        <v>115</v>
      </c>
      <c r="B2" s="4" t="s">
        <v>6</v>
      </c>
      <c r="C2" s="5">
        <v>2022</v>
      </c>
      <c r="D2" s="6">
        <v>8.4</v>
      </c>
      <c r="E2" s="4" t="s">
        <v>189</v>
      </c>
      <c r="F2" s="5">
        <v>3</v>
      </c>
    </row>
    <row r="3" spans="1:6" x14ac:dyDescent="0.35">
      <c r="A3" s="4" t="s">
        <v>116</v>
      </c>
      <c r="B3" s="4" t="s">
        <v>7</v>
      </c>
      <c r="C3" s="5">
        <v>2022</v>
      </c>
      <c r="D3" s="6">
        <v>7</v>
      </c>
      <c r="E3" s="4" t="s">
        <v>8</v>
      </c>
      <c r="F3" s="5">
        <v>5</v>
      </c>
    </row>
    <row r="4" spans="1:6" x14ac:dyDescent="0.35">
      <c r="A4" s="4" t="s">
        <v>243</v>
      </c>
      <c r="B4" s="4" t="s">
        <v>7</v>
      </c>
      <c r="C4" s="5">
        <v>2013</v>
      </c>
      <c r="D4" s="6">
        <v>6.8</v>
      </c>
      <c r="E4" s="4" t="s">
        <v>8</v>
      </c>
      <c r="F4" s="5">
        <v>5</v>
      </c>
    </row>
    <row r="5" spans="1:6" x14ac:dyDescent="0.35">
      <c r="A5" s="4" t="s">
        <v>244</v>
      </c>
      <c r="B5" s="4" t="s">
        <v>7</v>
      </c>
      <c r="C5" s="5">
        <v>2017</v>
      </c>
      <c r="D5" s="6">
        <v>7.9</v>
      </c>
      <c r="E5" s="4" t="s">
        <v>8</v>
      </c>
      <c r="F5" s="5">
        <v>5</v>
      </c>
    </row>
    <row r="6" spans="1:6" x14ac:dyDescent="0.35">
      <c r="A6" s="4" t="s">
        <v>245</v>
      </c>
      <c r="B6" s="4" t="s">
        <v>7</v>
      </c>
      <c r="C6" s="5">
        <v>2022</v>
      </c>
      <c r="D6" s="6">
        <v>6.8</v>
      </c>
      <c r="E6" s="4" t="s">
        <v>8</v>
      </c>
      <c r="F6" s="5">
        <v>5</v>
      </c>
    </row>
    <row r="7" spans="1:6" x14ac:dyDescent="0.35">
      <c r="A7" s="4" t="s">
        <v>117</v>
      </c>
      <c r="B7" s="4" t="s">
        <v>6</v>
      </c>
      <c r="C7" s="5">
        <v>1975</v>
      </c>
      <c r="D7" s="6">
        <v>8.1</v>
      </c>
      <c r="E7" s="4" t="s">
        <v>9</v>
      </c>
      <c r="F7" s="5">
        <v>1</v>
      </c>
    </row>
    <row r="8" spans="1:6" x14ac:dyDescent="0.35">
      <c r="A8" s="4" t="s">
        <v>118</v>
      </c>
      <c r="B8" s="4" t="s">
        <v>6</v>
      </c>
      <c r="C8" s="5">
        <v>1995</v>
      </c>
      <c r="D8" s="6">
        <v>8</v>
      </c>
      <c r="E8" s="4" t="s">
        <v>10</v>
      </c>
      <c r="F8" s="5">
        <v>1</v>
      </c>
    </row>
    <row r="9" spans="1:6" x14ac:dyDescent="0.35">
      <c r="A9" s="4" t="s">
        <v>247</v>
      </c>
      <c r="B9" s="4" t="s">
        <v>6</v>
      </c>
      <c r="C9" s="5">
        <v>2009</v>
      </c>
      <c r="D9" s="6">
        <v>8.4</v>
      </c>
      <c r="E9" s="4" t="s">
        <v>11</v>
      </c>
      <c r="F9" s="5">
        <v>1</v>
      </c>
    </row>
    <row r="10" spans="1:6" x14ac:dyDescent="0.35">
      <c r="A10" s="4" t="s">
        <v>119</v>
      </c>
      <c r="B10" s="4" t="s">
        <v>6</v>
      </c>
      <c r="C10" s="5">
        <v>2001</v>
      </c>
      <c r="D10" s="6">
        <v>7.4</v>
      </c>
      <c r="E10" s="4" t="s">
        <v>12</v>
      </c>
      <c r="F10" s="5">
        <v>1</v>
      </c>
    </row>
    <row r="11" spans="1:6" x14ac:dyDescent="0.35">
      <c r="A11" s="4" t="s">
        <v>246</v>
      </c>
      <c r="B11" s="4" t="s">
        <v>6</v>
      </c>
      <c r="C11" s="5">
        <v>2015</v>
      </c>
      <c r="D11" s="6">
        <v>7.2</v>
      </c>
      <c r="E11" s="4" t="s">
        <v>158</v>
      </c>
      <c r="F11" s="5">
        <v>1</v>
      </c>
    </row>
    <row r="12" spans="1:6" x14ac:dyDescent="0.35">
      <c r="A12" s="4" t="s">
        <v>248</v>
      </c>
      <c r="B12" s="4" t="s">
        <v>7</v>
      </c>
      <c r="C12" s="5">
        <v>1994</v>
      </c>
      <c r="D12" s="6">
        <v>9.3000000000000007</v>
      </c>
      <c r="E12" s="4" t="s">
        <v>13</v>
      </c>
      <c r="F12" s="5">
        <v>5</v>
      </c>
    </row>
    <row r="13" spans="1:6" x14ac:dyDescent="0.35">
      <c r="A13" s="4" t="s">
        <v>120</v>
      </c>
      <c r="B13" s="4" t="s">
        <v>7</v>
      </c>
      <c r="C13" s="5">
        <v>2010</v>
      </c>
      <c r="D13" s="6">
        <v>8.8000000000000007</v>
      </c>
      <c r="E13" s="4" t="s">
        <v>14</v>
      </c>
      <c r="F13" s="5">
        <v>5</v>
      </c>
    </row>
    <row r="14" spans="1:6" x14ac:dyDescent="0.35">
      <c r="A14" s="4" t="s">
        <v>121</v>
      </c>
      <c r="B14" s="4" t="s">
        <v>7</v>
      </c>
      <c r="C14" s="5">
        <v>2014</v>
      </c>
      <c r="D14" s="6">
        <v>8.6</v>
      </c>
      <c r="E14" s="4" t="s">
        <v>14</v>
      </c>
      <c r="F14" s="5">
        <v>5</v>
      </c>
    </row>
    <row r="15" spans="1:6" x14ac:dyDescent="0.35">
      <c r="A15" s="4" t="s">
        <v>122</v>
      </c>
      <c r="B15" s="4" t="s">
        <v>7</v>
      </c>
      <c r="C15" s="5">
        <v>2006</v>
      </c>
      <c r="D15" s="6">
        <v>8</v>
      </c>
      <c r="E15" s="4" t="s">
        <v>15</v>
      </c>
      <c r="F15" s="5">
        <v>5</v>
      </c>
    </row>
    <row r="16" spans="1:6" x14ac:dyDescent="0.35">
      <c r="A16" s="4" t="s">
        <v>123</v>
      </c>
      <c r="B16" s="4" t="s">
        <v>7</v>
      </c>
      <c r="C16" s="5">
        <v>2000</v>
      </c>
      <c r="D16" s="6">
        <v>8.5</v>
      </c>
      <c r="E16" s="4" t="s">
        <v>20</v>
      </c>
      <c r="F16" s="5">
        <v>5</v>
      </c>
    </row>
    <row r="17" spans="1:6" x14ac:dyDescent="0.35">
      <c r="A17" s="4" t="s">
        <v>124</v>
      </c>
      <c r="B17" s="4" t="s">
        <v>7</v>
      </c>
      <c r="C17" s="5">
        <v>1997</v>
      </c>
      <c r="D17" s="6">
        <v>7.9</v>
      </c>
      <c r="E17" s="4" t="s">
        <v>16</v>
      </c>
      <c r="F17" s="5">
        <v>5</v>
      </c>
    </row>
    <row r="18" spans="1:6" x14ac:dyDescent="0.35">
      <c r="A18" s="4" t="s">
        <v>125</v>
      </c>
      <c r="B18" s="4" t="s">
        <v>7</v>
      </c>
      <c r="C18" s="5">
        <v>1946</v>
      </c>
      <c r="D18" s="6">
        <v>8.6</v>
      </c>
      <c r="E18" s="4" t="s">
        <v>17</v>
      </c>
      <c r="F18" s="5">
        <v>5</v>
      </c>
    </row>
    <row r="19" spans="1:6" x14ac:dyDescent="0.35">
      <c r="A19" s="4" t="s">
        <v>126</v>
      </c>
      <c r="B19" s="4" t="s">
        <v>7</v>
      </c>
      <c r="C19" s="5">
        <v>2009</v>
      </c>
      <c r="D19" s="6">
        <v>7.8</v>
      </c>
      <c r="E19" s="4" t="s">
        <v>18</v>
      </c>
      <c r="F19" s="5">
        <v>5</v>
      </c>
    </row>
    <row r="20" spans="1:6" x14ac:dyDescent="0.35">
      <c r="A20" s="4" t="s">
        <v>127</v>
      </c>
      <c r="B20" s="4" t="s">
        <v>7</v>
      </c>
      <c r="C20" s="5">
        <v>1972</v>
      </c>
      <c r="D20" s="6">
        <v>9.1999999999999993</v>
      </c>
      <c r="E20" s="4" t="s">
        <v>16</v>
      </c>
      <c r="F20" s="5">
        <v>5</v>
      </c>
    </row>
    <row r="21" spans="1:6" x14ac:dyDescent="0.35">
      <c r="A21" s="4" t="s">
        <v>128</v>
      </c>
      <c r="B21" s="4" t="s">
        <v>7</v>
      </c>
      <c r="C21" s="5">
        <v>2008</v>
      </c>
      <c r="D21" s="6">
        <v>9</v>
      </c>
      <c r="E21" s="4" t="s">
        <v>19</v>
      </c>
      <c r="F21" s="5">
        <v>5</v>
      </c>
    </row>
    <row r="22" spans="1:6" x14ac:dyDescent="0.35">
      <c r="A22" s="4" t="s">
        <v>129</v>
      </c>
      <c r="B22" s="4" t="s">
        <v>7</v>
      </c>
      <c r="C22" s="5">
        <v>1993</v>
      </c>
      <c r="D22" s="6">
        <v>9</v>
      </c>
      <c r="E22" s="4" t="s">
        <v>20</v>
      </c>
      <c r="F22" s="5">
        <v>5</v>
      </c>
    </row>
    <row r="23" spans="1:6" x14ac:dyDescent="0.35">
      <c r="A23" s="4" t="s">
        <v>130</v>
      </c>
      <c r="B23" s="4" t="s">
        <v>7</v>
      </c>
      <c r="C23" s="5">
        <v>1993</v>
      </c>
      <c r="D23" s="6">
        <v>8.1999999999999993</v>
      </c>
      <c r="E23" s="4" t="s">
        <v>20</v>
      </c>
      <c r="F23" s="5">
        <v>5</v>
      </c>
    </row>
    <row r="24" spans="1:6" x14ac:dyDescent="0.35">
      <c r="A24" s="4" t="s">
        <v>131</v>
      </c>
      <c r="B24" s="4" t="s">
        <v>7</v>
      </c>
      <c r="C24" s="5">
        <v>2019</v>
      </c>
      <c r="D24" s="6">
        <v>8.5</v>
      </c>
      <c r="E24" s="4" t="s">
        <v>158</v>
      </c>
      <c r="F24" s="5">
        <v>5</v>
      </c>
    </row>
    <row r="25" spans="1:6" x14ac:dyDescent="0.35">
      <c r="A25" s="4" t="s">
        <v>132</v>
      </c>
      <c r="B25" s="4" t="s">
        <v>7</v>
      </c>
      <c r="C25" s="5">
        <v>2019</v>
      </c>
      <c r="D25" s="6">
        <v>8.4</v>
      </c>
      <c r="E25" s="4" t="s">
        <v>8</v>
      </c>
      <c r="F25" s="5">
        <v>5</v>
      </c>
    </row>
    <row r="26" spans="1:6" x14ac:dyDescent="0.35">
      <c r="A26" s="4" t="s">
        <v>133</v>
      </c>
      <c r="B26" s="4" t="s">
        <v>7</v>
      </c>
      <c r="C26" s="5">
        <v>2018</v>
      </c>
      <c r="D26" s="6">
        <v>8.4</v>
      </c>
      <c r="E26" s="4" t="s">
        <v>8</v>
      </c>
      <c r="F26" s="5">
        <v>5</v>
      </c>
    </row>
    <row r="27" spans="1:6" x14ac:dyDescent="0.35">
      <c r="A27" s="4" t="s">
        <v>134</v>
      </c>
      <c r="B27" s="4" t="s">
        <v>6</v>
      </c>
      <c r="C27" s="5">
        <v>1955</v>
      </c>
      <c r="D27" s="6">
        <v>8.3000000000000007</v>
      </c>
      <c r="E27" s="4" t="s">
        <v>230</v>
      </c>
      <c r="F27" s="5">
        <v>7</v>
      </c>
    </row>
    <row r="28" spans="1:6" x14ac:dyDescent="0.35">
      <c r="A28" s="4" t="s">
        <v>135</v>
      </c>
      <c r="B28" s="4" t="s">
        <v>6</v>
      </c>
      <c r="C28" s="5">
        <v>2007</v>
      </c>
      <c r="D28" s="6">
        <v>8.3000000000000007</v>
      </c>
      <c r="E28" s="4" t="s">
        <v>158</v>
      </c>
      <c r="F28" s="5">
        <v>1</v>
      </c>
    </row>
    <row r="29" spans="1:6" x14ac:dyDescent="0.35">
      <c r="A29" s="4" t="s">
        <v>136</v>
      </c>
      <c r="B29" s="4" t="s">
        <v>6</v>
      </c>
      <c r="C29" s="5">
        <v>2003</v>
      </c>
      <c r="D29" s="6">
        <v>8.1</v>
      </c>
      <c r="E29" s="4" t="s">
        <v>21</v>
      </c>
      <c r="F29" s="5">
        <v>1</v>
      </c>
    </row>
    <row r="30" spans="1:6" x14ac:dyDescent="0.35">
      <c r="A30" s="4" t="s">
        <v>137</v>
      </c>
      <c r="B30" s="4" t="s">
        <v>6</v>
      </c>
      <c r="C30" s="5">
        <v>2014</v>
      </c>
      <c r="D30" s="6">
        <v>8.1</v>
      </c>
      <c r="E30" s="4" t="s">
        <v>11</v>
      </c>
      <c r="F30" s="5">
        <v>1</v>
      </c>
    </row>
    <row r="31" spans="1:6" x14ac:dyDescent="0.35">
      <c r="A31" s="4" t="s">
        <v>138</v>
      </c>
      <c r="B31" s="4" t="s">
        <v>6</v>
      </c>
      <c r="C31" s="5">
        <v>2018</v>
      </c>
      <c r="D31" s="6" t="s">
        <v>113</v>
      </c>
      <c r="E31" s="4" t="s">
        <v>11</v>
      </c>
      <c r="F31" s="5">
        <v>1</v>
      </c>
    </row>
    <row r="32" spans="1:6" x14ac:dyDescent="0.35">
      <c r="A32" s="4" t="s">
        <v>139</v>
      </c>
      <c r="B32" s="4" t="s">
        <v>6</v>
      </c>
      <c r="C32" s="5">
        <v>2021</v>
      </c>
      <c r="D32" s="6">
        <v>7.6</v>
      </c>
      <c r="E32" s="4" t="s">
        <v>22</v>
      </c>
      <c r="F32" s="5">
        <v>2</v>
      </c>
    </row>
    <row r="33" spans="1:6" x14ac:dyDescent="0.35">
      <c r="A33" s="4" t="s">
        <v>140</v>
      </c>
      <c r="B33" s="4" t="s">
        <v>6</v>
      </c>
      <c r="C33" s="5">
        <v>2022</v>
      </c>
      <c r="D33" s="6">
        <v>8</v>
      </c>
      <c r="E33" s="4" t="s">
        <v>23</v>
      </c>
      <c r="F33" s="5">
        <v>2</v>
      </c>
    </row>
    <row r="34" spans="1:6" x14ac:dyDescent="0.35">
      <c r="A34" s="4" t="s">
        <v>141</v>
      </c>
      <c r="B34" s="4" t="s">
        <v>6</v>
      </c>
      <c r="C34" s="5">
        <v>2015</v>
      </c>
      <c r="D34" s="6">
        <v>8</v>
      </c>
      <c r="E34" s="4" t="s">
        <v>24</v>
      </c>
      <c r="F34" s="5">
        <v>2</v>
      </c>
    </row>
    <row r="35" spans="1:6" x14ac:dyDescent="0.35">
      <c r="A35" s="4" t="s">
        <v>142</v>
      </c>
      <c r="B35" s="4" t="s">
        <v>6</v>
      </c>
      <c r="C35" s="5">
        <v>2022</v>
      </c>
      <c r="D35" s="6">
        <v>8.3000000000000007</v>
      </c>
      <c r="E35" s="4" t="s">
        <v>25</v>
      </c>
      <c r="F35" s="5">
        <v>1</v>
      </c>
    </row>
    <row r="36" spans="1:6" x14ac:dyDescent="0.35">
      <c r="A36" s="4" t="s">
        <v>143</v>
      </c>
      <c r="B36" s="4" t="s">
        <v>6</v>
      </c>
      <c r="C36" s="5">
        <v>2015</v>
      </c>
      <c r="D36" s="6">
        <v>8.1</v>
      </c>
      <c r="E36" s="4" t="s">
        <v>26</v>
      </c>
      <c r="F36" s="5">
        <v>1</v>
      </c>
    </row>
    <row r="37" spans="1:6" x14ac:dyDescent="0.35">
      <c r="A37" s="4" t="s">
        <v>144</v>
      </c>
      <c r="B37" s="4" t="s">
        <v>7</v>
      </c>
      <c r="C37" s="5">
        <v>2011</v>
      </c>
      <c r="D37" s="6">
        <v>6.9</v>
      </c>
      <c r="E37" s="4" t="s">
        <v>8</v>
      </c>
      <c r="F37" s="5">
        <v>5</v>
      </c>
    </row>
    <row r="38" spans="1:6" x14ac:dyDescent="0.35">
      <c r="A38" s="4" t="s">
        <v>145</v>
      </c>
      <c r="B38" s="4" t="s">
        <v>7</v>
      </c>
      <c r="C38" s="5">
        <v>2014</v>
      </c>
      <c r="D38" s="6">
        <v>7.8</v>
      </c>
      <c r="E38" s="4" t="s">
        <v>8</v>
      </c>
      <c r="F38" s="5">
        <v>5</v>
      </c>
    </row>
    <row r="39" spans="1:6" x14ac:dyDescent="0.35">
      <c r="A39" s="4" t="s">
        <v>146</v>
      </c>
      <c r="B39" s="4" t="s">
        <v>6</v>
      </c>
      <c r="C39" s="5">
        <v>2018</v>
      </c>
      <c r="D39" s="6">
        <v>1.9</v>
      </c>
      <c r="E39" s="4" t="s">
        <v>26</v>
      </c>
      <c r="F39" s="5">
        <v>1</v>
      </c>
    </row>
    <row r="40" spans="1:6" x14ac:dyDescent="0.35">
      <c r="A40" s="4" t="s">
        <v>147</v>
      </c>
      <c r="B40" s="4" t="s">
        <v>6</v>
      </c>
      <c r="C40" s="5">
        <v>2021</v>
      </c>
      <c r="D40" s="6">
        <v>8.4</v>
      </c>
      <c r="E40" s="4" t="s">
        <v>12</v>
      </c>
      <c r="F40" s="5">
        <v>1</v>
      </c>
    </row>
    <row r="41" spans="1:6" x14ac:dyDescent="0.35">
      <c r="A41" s="4" t="s">
        <v>239</v>
      </c>
      <c r="B41" s="4" t="s">
        <v>6</v>
      </c>
      <c r="C41" s="5">
        <v>2018</v>
      </c>
      <c r="D41" s="6">
        <v>4.0999999999999996</v>
      </c>
      <c r="E41" s="4" t="s">
        <v>10</v>
      </c>
      <c r="F41" s="5">
        <v>1</v>
      </c>
    </row>
    <row r="42" spans="1:6" x14ac:dyDescent="0.35">
      <c r="A42" s="4" t="s">
        <v>240</v>
      </c>
      <c r="B42" s="4" t="s">
        <v>6</v>
      </c>
      <c r="C42" s="5">
        <v>2022</v>
      </c>
      <c r="D42" s="6">
        <v>5.6</v>
      </c>
      <c r="E42" s="4" t="s">
        <v>10</v>
      </c>
      <c r="F42" s="5">
        <v>1</v>
      </c>
    </row>
    <row r="43" spans="1:6" x14ac:dyDescent="0.35">
      <c r="A43" s="4" t="s">
        <v>241</v>
      </c>
      <c r="B43" s="4" t="s">
        <v>7</v>
      </c>
      <c r="C43" s="5">
        <v>2019</v>
      </c>
      <c r="D43" s="6">
        <v>2.8</v>
      </c>
      <c r="E43" s="4" t="s">
        <v>20</v>
      </c>
      <c r="F43" s="5">
        <v>5</v>
      </c>
    </row>
    <row r="44" spans="1:6" x14ac:dyDescent="0.35">
      <c r="A44" s="4" t="s">
        <v>242</v>
      </c>
      <c r="B44" s="4" t="s">
        <v>7</v>
      </c>
      <c r="C44" s="5">
        <v>2018</v>
      </c>
      <c r="D44" s="6">
        <v>6.1</v>
      </c>
      <c r="E44" s="4" t="s">
        <v>20</v>
      </c>
      <c r="F44" s="5">
        <v>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5"/>
  <sheetViews>
    <sheetView zoomScale="160" zoomScaleNormal="160" workbookViewId="0">
      <selection activeCell="C7" sqref="C7"/>
    </sheetView>
  </sheetViews>
  <sheetFormatPr defaultRowHeight="14.5" x14ac:dyDescent="0.35"/>
  <cols>
    <col min="1" max="1" width="9.81640625" customWidth="1"/>
    <col min="5" max="5" width="9.453125" customWidth="1"/>
  </cols>
  <sheetData>
    <row r="1" spans="1:5" x14ac:dyDescent="0.3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5">
      <c r="A2">
        <v>101</v>
      </c>
      <c r="B2">
        <v>1</v>
      </c>
      <c r="C2">
        <v>12.5</v>
      </c>
      <c r="D2" t="s">
        <v>31</v>
      </c>
      <c r="E2" t="s">
        <v>32</v>
      </c>
    </row>
    <row r="3" spans="1:5" x14ac:dyDescent="0.35">
      <c r="A3">
        <v>102</v>
      </c>
      <c r="B3">
        <v>200</v>
      </c>
      <c r="C3">
        <v>954.8</v>
      </c>
      <c r="D3" t="s">
        <v>33</v>
      </c>
      <c r="E3" t="s">
        <v>34</v>
      </c>
    </row>
    <row r="4" spans="1:5" x14ac:dyDescent="0.35">
      <c r="A4">
        <v>103</v>
      </c>
      <c r="B4">
        <v>165</v>
      </c>
      <c r="C4">
        <v>644.79999999999995</v>
      </c>
      <c r="D4" t="s">
        <v>33</v>
      </c>
      <c r="E4" t="s">
        <v>34</v>
      </c>
    </row>
    <row r="5" spans="1:5" x14ac:dyDescent="0.35">
      <c r="A5">
        <v>104</v>
      </c>
      <c r="B5">
        <v>180</v>
      </c>
      <c r="C5">
        <v>854</v>
      </c>
      <c r="D5" t="s">
        <v>33</v>
      </c>
      <c r="E5" t="s">
        <v>34</v>
      </c>
    </row>
    <row r="6" spans="1:5" x14ac:dyDescent="0.35">
      <c r="A6">
        <v>105</v>
      </c>
      <c r="B6">
        <v>250</v>
      </c>
      <c r="C6">
        <v>670</v>
      </c>
      <c r="D6" t="s">
        <v>33</v>
      </c>
      <c r="E6" t="s">
        <v>34</v>
      </c>
    </row>
    <row r="7" spans="1:5" x14ac:dyDescent="0.35">
      <c r="A7">
        <v>107</v>
      </c>
      <c r="B7">
        <v>400</v>
      </c>
      <c r="C7">
        <v>2000</v>
      </c>
      <c r="D7" t="s">
        <v>33</v>
      </c>
      <c r="E7" t="s">
        <v>32</v>
      </c>
    </row>
    <row r="8" spans="1:5" x14ac:dyDescent="0.35">
      <c r="A8">
        <v>108</v>
      </c>
      <c r="B8">
        <v>550</v>
      </c>
      <c r="C8">
        <v>4000</v>
      </c>
      <c r="D8" t="s">
        <v>33</v>
      </c>
      <c r="E8" t="s">
        <v>32</v>
      </c>
    </row>
    <row r="9" spans="1:5" x14ac:dyDescent="0.35">
      <c r="A9">
        <v>109</v>
      </c>
      <c r="B9">
        <v>390</v>
      </c>
      <c r="C9">
        <v>1360</v>
      </c>
      <c r="D9" t="s">
        <v>33</v>
      </c>
      <c r="E9" t="s">
        <v>32</v>
      </c>
    </row>
    <row r="10" spans="1:5" x14ac:dyDescent="0.35">
      <c r="A10">
        <v>110</v>
      </c>
      <c r="B10">
        <v>1.4</v>
      </c>
      <c r="C10">
        <v>3.5</v>
      </c>
      <c r="D10" t="s">
        <v>31</v>
      </c>
      <c r="E10" t="s">
        <v>32</v>
      </c>
    </row>
    <row r="11" spans="1:5" x14ac:dyDescent="0.35">
      <c r="A11">
        <v>111</v>
      </c>
      <c r="B11">
        <v>25</v>
      </c>
      <c r="C11">
        <v>73.3</v>
      </c>
      <c r="D11" t="s">
        <v>33</v>
      </c>
      <c r="E11" t="s">
        <v>34</v>
      </c>
    </row>
    <row r="12" spans="1:5" x14ac:dyDescent="0.35">
      <c r="A12">
        <v>113</v>
      </c>
      <c r="B12">
        <v>165</v>
      </c>
      <c r="C12">
        <v>701.8</v>
      </c>
      <c r="D12" t="s">
        <v>33</v>
      </c>
      <c r="E12" t="s">
        <v>34</v>
      </c>
    </row>
    <row r="13" spans="1:5" x14ac:dyDescent="0.35">
      <c r="A13">
        <v>114</v>
      </c>
      <c r="B13">
        <v>205</v>
      </c>
      <c r="C13">
        <v>365.3</v>
      </c>
      <c r="D13" t="s">
        <v>33</v>
      </c>
      <c r="E13" t="s">
        <v>34</v>
      </c>
    </row>
    <row r="14" spans="1:5" x14ac:dyDescent="0.35">
      <c r="A14">
        <v>115</v>
      </c>
      <c r="B14">
        <v>55</v>
      </c>
      <c r="C14">
        <v>307.10000000000002</v>
      </c>
      <c r="D14" t="s">
        <v>33</v>
      </c>
      <c r="E14" t="s">
        <v>34</v>
      </c>
    </row>
    <row r="15" spans="1:5" x14ac:dyDescent="0.35">
      <c r="A15">
        <v>116</v>
      </c>
      <c r="B15">
        <v>103</v>
      </c>
      <c r="C15">
        <v>460.5</v>
      </c>
      <c r="D15" t="s">
        <v>33</v>
      </c>
      <c r="E15" t="s">
        <v>34</v>
      </c>
    </row>
    <row r="16" spans="1:5" x14ac:dyDescent="0.35">
      <c r="A16">
        <v>117</v>
      </c>
      <c r="B16">
        <v>200</v>
      </c>
      <c r="C16">
        <v>2202</v>
      </c>
      <c r="D16" t="s">
        <v>33</v>
      </c>
      <c r="E16" t="s">
        <v>34</v>
      </c>
    </row>
    <row r="17" spans="1:5" x14ac:dyDescent="0.35">
      <c r="A17">
        <v>118</v>
      </c>
      <c r="B17">
        <v>3.18</v>
      </c>
      <c r="C17">
        <v>3.3</v>
      </c>
      <c r="D17" t="s">
        <v>33</v>
      </c>
      <c r="E17" t="s">
        <v>34</v>
      </c>
    </row>
    <row r="18" spans="1:5" x14ac:dyDescent="0.35">
      <c r="A18">
        <v>119</v>
      </c>
      <c r="B18">
        <v>237</v>
      </c>
      <c r="C18">
        <v>2847</v>
      </c>
      <c r="D18" t="s">
        <v>33</v>
      </c>
      <c r="E18" t="s">
        <v>34</v>
      </c>
    </row>
    <row r="19" spans="1:5" x14ac:dyDescent="0.35">
      <c r="A19">
        <v>120</v>
      </c>
      <c r="B19">
        <v>7.2</v>
      </c>
      <c r="C19">
        <v>291</v>
      </c>
      <c r="D19" t="s">
        <v>33</v>
      </c>
      <c r="E19" t="s">
        <v>34</v>
      </c>
    </row>
    <row r="20" spans="1:5" x14ac:dyDescent="0.35">
      <c r="A20">
        <v>121</v>
      </c>
      <c r="B20">
        <v>185</v>
      </c>
      <c r="C20">
        <v>1006</v>
      </c>
      <c r="D20" t="s">
        <v>33</v>
      </c>
      <c r="E20" t="s">
        <v>34</v>
      </c>
    </row>
    <row r="21" spans="1:5" x14ac:dyDescent="0.35">
      <c r="A21">
        <v>122</v>
      </c>
      <c r="B21">
        <v>22</v>
      </c>
      <c r="C21">
        <v>322.2</v>
      </c>
      <c r="D21" t="s">
        <v>33</v>
      </c>
      <c r="E21" t="s">
        <v>34</v>
      </c>
    </row>
    <row r="22" spans="1:5" x14ac:dyDescent="0.35">
      <c r="A22">
        <v>123</v>
      </c>
      <c r="B22">
        <v>63</v>
      </c>
      <c r="C22">
        <v>1046</v>
      </c>
      <c r="D22" t="s">
        <v>33</v>
      </c>
      <c r="E22" t="s">
        <v>34</v>
      </c>
    </row>
    <row r="23" spans="1:5" x14ac:dyDescent="0.35">
      <c r="A23">
        <v>124</v>
      </c>
      <c r="B23">
        <v>15.5</v>
      </c>
      <c r="C23">
        <v>263.10000000000002</v>
      </c>
      <c r="D23" t="s">
        <v>33</v>
      </c>
      <c r="E23" t="s">
        <v>34</v>
      </c>
    </row>
    <row r="24" spans="1:5" x14ac:dyDescent="0.35">
      <c r="A24">
        <v>125</v>
      </c>
      <c r="B24">
        <v>400</v>
      </c>
      <c r="C24">
        <v>2798</v>
      </c>
      <c r="D24" t="s">
        <v>33</v>
      </c>
      <c r="E24" t="s">
        <v>34</v>
      </c>
    </row>
    <row r="25" spans="1:5" x14ac:dyDescent="0.35">
      <c r="A25">
        <v>126</v>
      </c>
      <c r="B25">
        <v>400</v>
      </c>
      <c r="C25">
        <v>2048</v>
      </c>
      <c r="D25" t="s">
        <v>33</v>
      </c>
      <c r="E25" t="s">
        <v>34</v>
      </c>
    </row>
    <row r="26" spans="1:5" x14ac:dyDescent="0.35">
      <c r="A26">
        <v>127</v>
      </c>
      <c r="B26">
        <v>70</v>
      </c>
      <c r="C26">
        <v>100</v>
      </c>
      <c r="D26" t="s">
        <v>33</v>
      </c>
      <c r="E26" t="s">
        <v>32</v>
      </c>
    </row>
    <row r="27" spans="1:5" x14ac:dyDescent="0.35">
      <c r="A27">
        <v>128</v>
      </c>
      <c r="B27">
        <v>120</v>
      </c>
      <c r="C27">
        <v>1350</v>
      </c>
      <c r="D27" t="s">
        <v>33</v>
      </c>
      <c r="E27" t="s">
        <v>32</v>
      </c>
    </row>
    <row r="28" spans="1:5" x14ac:dyDescent="0.35">
      <c r="A28">
        <v>129</v>
      </c>
      <c r="B28">
        <v>100</v>
      </c>
      <c r="C28">
        <v>410</v>
      </c>
      <c r="D28" t="s">
        <v>33</v>
      </c>
      <c r="E28" t="s">
        <v>32</v>
      </c>
    </row>
    <row r="29" spans="1:5" x14ac:dyDescent="0.35">
      <c r="A29">
        <v>130</v>
      </c>
      <c r="B29">
        <v>850</v>
      </c>
      <c r="C29">
        <v>8540</v>
      </c>
      <c r="D29" t="s">
        <v>33</v>
      </c>
      <c r="E29" t="s">
        <v>32</v>
      </c>
    </row>
    <row r="30" spans="1:5" x14ac:dyDescent="0.35">
      <c r="A30">
        <v>131</v>
      </c>
      <c r="B30">
        <v>1</v>
      </c>
      <c r="C30">
        <v>5.9</v>
      </c>
      <c r="D30" t="s">
        <v>31</v>
      </c>
      <c r="E30" t="s">
        <v>32</v>
      </c>
    </row>
    <row r="31" spans="1:5" x14ac:dyDescent="0.35">
      <c r="A31">
        <v>132</v>
      </c>
      <c r="B31">
        <v>2</v>
      </c>
      <c r="C31">
        <v>3.6</v>
      </c>
      <c r="D31" t="s">
        <v>31</v>
      </c>
      <c r="E31" t="s">
        <v>32</v>
      </c>
    </row>
    <row r="32" spans="1:5" x14ac:dyDescent="0.35">
      <c r="A32">
        <v>133</v>
      </c>
      <c r="B32">
        <v>5.5</v>
      </c>
      <c r="C32">
        <v>12</v>
      </c>
      <c r="D32" t="s">
        <v>31</v>
      </c>
      <c r="E32" t="s">
        <v>32</v>
      </c>
    </row>
    <row r="33" spans="1:5" x14ac:dyDescent="0.35">
      <c r="A33">
        <v>134</v>
      </c>
      <c r="B33">
        <v>1.8</v>
      </c>
      <c r="C33">
        <v>6.5</v>
      </c>
      <c r="D33" t="s">
        <v>31</v>
      </c>
      <c r="E33" t="s">
        <v>32</v>
      </c>
    </row>
    <row r="34" spans="1:5" x14ac:dyDescent="0.35">
      <c r="A34">
        <v>135</v>
      </c>
      <c r="B34">
        <v>250</v>
      </c>
      <c r="C34">
        <v>3409</v>
      </c>
      <c r="D34" t="s">
        <v>33</v>
      </c>
      <c r="E34" t="s">
        <v>32</v>
      </c>
    </row>
    <row r="35" spans="1:5" x14ac:dyDescent="0.35">
      <c r="A35">
        <v>136</v>
      </c>
      <c r="B35">
        <v>900</v>
      </c>
      <c r="C35">
        <v>11690</v>
      </c>
      <c r="D35" t="s">
        <v>33</v>
      </c>
      <c r="E35" t="s">
        <v>32</v>
      </c>
    </row>
    <row r="36" spans="1:5" x14ac:dyDescent="0.35">
      <c r="A36">
        <v>137</v>
      </c>
      <c r="B36">
        <v>216.7</v>
      </c>
      <c r="C36">
        <v>370.6</v>
      </c>
      <c r="D36" t="s">
        <v>33</v>
      </c>
      <c r="E36" t="s">
        <v>34</v>
      </c>
    </row>
    <row r="37" spans="1:5" x14ac:dyDescent="0.35">
      <c r="A37">
        <v>138</v>
      </c>
      <c r="B37">
        <v>177</v>
      </c>
      <c r="C37">
        <v>714.4</v>
      </c>
      <c r="D37" t="s">
        <v>33</v>
      </c>
      <c r="E37" t="s">
        <v>34</v>
      </c>
    </row>
    <row r="38" spans="1:5" x14ac:dyDescent="0.35">
      <c r="A38">
        <v>139</v>
      </c>
      <c r="B38">
        <v>1.8</v>
      </c>
      <c r="C38">
        <v>3.1</v>
      </c>
      <c r="D38" t="s">
        <v>31</v>
      </c>
      <c r="E38" t="s">
        <v>32</v>
      </c>
    </row>
    <row r="39" spans="1:5" x14ac:dyDescent="0.35">
      <c r="A39">
        <v>140</v>
      </c>
      <c r="B39">
        <v>500</v>
      </c>
      <c r="C39">
        <v>950</v>
      </c>
      <c r="D39" t="s">
        <v>33</v>
      </c>
      <c r="E39" t="s">
        <v>32</v>
      </c>
    </row>
    <row r="40" spans="1:5" x14ac:dyDescent="0.35">
      <c r="A40">
        <v>406</v>
      </c>
      <c r="B40">
        <v>30</v>
      </c>
      <c r="C40">
        <v>350</v>
      </c>
      <c r="D40" t="s">
        <v>33</v>
      </c>
      <c r="E40" t="s">
        <v>32</v>
      </c>
    </row>
    <row r="41" spans="1:5" x14ac:dyDescent="0.35">
      <c r="A41">
        <v>412</v>
      </c>
      <c r="B41">
        <v>160</v>
      </c>
      <c r="C41">
        <v>836.8</v>
      </c>
      <c r="D41" t="s">
        <v>33</v>
      </c>
      <c r="E41" t="s">
        <v>34</v>
      </c>
    </row>
    <row r="42" spans="1:5" x14ac:dyDescent="0.35">
      <c r="A42">
        <v>141</v>
      </c>
      <c r="B42">
        <v>3</v>
      </c>
      <c r="C42">
        <v>1.5</v>
      </c>
      <c r="D42" t="s">
        <v>31</v>
      </c>
      <c r="E42" t="s">
        <v>32</v>
      </c>
    </row>
    <row r="43" spans="1:5" x14ac:dyDescent="0.35">
      <c r="A43">
        <v>142</v>
      </c>
      <c r="B43">
        <v>1.5</v>
      </c>
      <c r="C43">
        <v>0.65</v>
      </c>
      <c r="D43" t="s">
        <v>31</v>
      </c>
      <c r="E43" t="s">
        <v>32</v>
      </c>
    </row>
    <row r="44" spans="1:5" x14ac:dyDescent="0.35">
      <c r="A44">
        <v>143</v>
      </c>
      <c r="B44">
        <v>95</v>
      </c>
      <c r="C44">
        <v>75.3</v>
      </c>
      <c r="D44" t="s">
        <v>33</v>
      </c>
      <c r="E44" t="s">
        <v>34</v>
      </c>
    </row>
    <row r="45" spans="1:5" x14ac:dyDescent="0.35">
      <c r="A45">
        <v>144</v>
      </c>
      <c r="B45">
        <v>100</v>
      </c>
      <c r="C45">
        <v>83.7</v>
      </c>
      <c r="D45" t="s">
        <v>33</v>
      </c>
      <c r="E45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zoomScale="160" zoomScaleNormal="160" workbookViewId="0">
      <selection activeCell="E12" sqref="E12"/>
    </sheetView>
  </sheetViews>
  <sheetFormatPr defaultRowHeight="14.5" x14ac:dyDescent="0.35"/>
  <cols>
    <col min="2" max="2" width="26.453125" customWidth="1"/>
    <col min="3" max="3" width="10.81640625" customWidth="1"/>
  </cols>
  <sheetData>
    <row r="1" spans="1:3" x14ac:dyDescent="0.35">
      <c r="A1" s="2" t="s">
        <v>35</v>
      </c>
      <c r="B1" s="2" t="s">
        <v>36</v>
      </c>
      <c r="C1" s="2" t="s">
        <v>37</v>
      </c>
    </row>
    <row r="2" spans="1:3" x14ac:dyDescent="0.35">
      <c r="A2">
        <v>50</v>
      </c>
      <c r="B2" t="s">
        <v>38</v>
      </c>
      <c r="C2">
        <v>1986</v>
      </c>
    </row>
    <row r="3" spans="1:3" x14ac:dyDescent="0.35">
      <c r="A3">
        <v>51</v>
      </c>
      <c r="B3" t="s">
        <v>39</v>
      </c>
      <c r="C3">
        <v>1959</v>
      </c>
    </row>
    <row r="4" spans="1:3" x14ac:dyDescent="0.35">
      <c r="A4">
        <v>52</v>
      </c>
      <c r="B4" t="s">
        <v>40</v>
      </c>
      <c r="C4">
        <v>1976</v>
      </c>
    </row>
    <row r="5" spans="1:3" x14ac:dyDescent="0.35">
      <c r="A5">
        <v>53</v>
      </c>
      <c r="B5" t="s">
        <v>41</v>
      </c>
      <c r="C5">
        <v>1989</v>
      </c>
    </row>
    <row r="6" spans="1:3" x14ac:dyDescent="0.35">
      <c r="A6">
        <v>54</v>
      </c>
      <c r="B6" t="s">
        <v>42</v>
      </c>
      <c r="C6">
        <v>1983</v>
      </c>
    </row>
    <row r="7" spans="1:3" x14ac:dyDescent="0.35">
      <c r="A7">
        <v>55</v>
      </c>
      <c r="B7" t="s">
        <v>43</v>
      </c>
      <c r="C7">
        <v>1981</v>
      </c>
    </row>
    <row r="8" spans="1:3" x14ac:dyDescent="0.35">
      <c r="A8">
        <v>56</v>
      </c>
      <c r="B8" t="s">
        <v>44</v>
      </c>
      <c r="C8">
        <v>1981</v>
      </c>
    </row>
    <row r="9" spans="1:3" x14ac:dyDescent="0.35">
      <c r="A9">
        <v>57</v>
      </c>
      <c r="B9" t="s">
        <v>45</v>
      </c>
      <c r="C9">
        <v>1942</v>
      </c>
    </row>
    <row r="10" spans="1:3" x14ac:dyDescent="0.35">
      <c r="A10">
        <v>58</v>
      </c>
      <c r="B10" t="s">
        <v>46</v>
      </c>
      <c r="C10">
        <v>1948</v>
      </c>
    </row>
    <row r="11" spans="1:3" x14ac:dyDescent="0.35">
      <c r="A11">
        <v>59</v>
      </c>
      <c r="B11" t="s">
        <v>47</v>
      </c>
      <c r="C11">
        <v>1965</v>
      </c>
    </row>
    <row r="12" spans="1:3" x14ac:dyDescent="0.35">
      <c r="A12">
        <v>60</v>
      </c>
      <c r="B12" t="s">
        <v>48</v>
      </c>
      <c r="C12">
        <v>1974</v>
      </c>
    </row>
    <row r="13" spans="1:3" x14ac:dyDescent="0.35">
      <c r="A13">
        <v>61</v>
      </c>
      <c r="B13" t="s">
        <v>49</v>
      </c>
      <c r="C13">
        <v>1965</v>
      </c>
    </row>
    <row r="14" spans="1:3" x14ac:dyDescent="0.35">
      <c r="A14">
        <v>62</v>
      </c>
      <c r="B14" t="s">
        <v>50</v>
      </c>
      <c r="C14">
        <v>1970</v>
      </c>
    </row>
    <row r="15" spans="1:3" x14ac:dyDescent="0.35">
      <c r="A15">
        <v>63</v>
      </c>
      <c r="B15" t="s">
        <v>51</v>
      </c>
      <c r="C15">
        <v>1979</v>
      </c>
    </row>
    <row r="16" spans="1:3" x14ac:dyDescent="0.35">
      <c r="A16">
        <v>64</v>
      </c>
      <c r="B16" t="s">
        <v>52</v>
      </c>
      <c r="C16">
        <v>1974</v>
      </c>
    </row>
    <row r="17" spans="1:3" x14ac:dyDescent="0.35">
      <c r="A17">
        <v>65</v>
      </c>
      <c r="B17" t="s">
        <v>53</v>
      </c>
      <c r="C17">
        <v>1985</v>
      </c>
    </row>
    <row r="18" spans="1:3" x14ac:dyDescent="0.35">
      <c r="A18">
        <v>66</v>
      </c>
      <c r="B18" t="s">
        <v>54</v>
      </c>
      <c r="C18">
        <v>1986</v>
      </c>
    </row>
    <row r="19" spans="1:3" x14ac:dyDescent="0.35">
      <c r="A19">
        <v>67</v>
      </c>
      <c r="B19" t="s">
        <v>55</v>
      </c>
      <c r="C19">
        <v>1958</v>
      </c>
    </row>
    <row r="20" spans="1:3" x14ac:dyDescent="0.35">
      <c r="A20">
        <v>68</v>
      </c>
      <c r="B20" t="s">
        <v>56</v>
      </c>
      <c r="C20">
        <v>1937</v>
      </c>
    </row>
    <row r="21" spans="1:3" x14ac:dyDescent="0.35">
      <c r="A21">
        <v>69</v>
      </c>
      <c r="B21" t="s">
        <v>57</v>
      </c>
      <c r="C21">
        <v>1974</v>
      </c>
    </row>
    <row r="22" spans="1:3" x14ac:dyDescent="0.35">
      <c r="A22">
        <v>70</v>
      </c>
      <c r="B22" t="s">
        <v>58</v>
      </c>
      <c r="C22">
        <v>1959</v>
      </c>
    </row>
    <row r="23" spans="1:3" x14ac:dyDescent="0.35">
      <c r="A23">
        <v>71</v>
      </c>
      <c r="B23" t="s">
        <v>59</v>
      </c>
      <c r="C23">
        <v>1969</v>
      </c>
    </row>
    <row r="24" spans="1:3" x14ac:dyDescent="0.35">
      <c r="A24">
        <v>72</v>
      </c>
      <c r="B24" t="s">
        <v>60</v>
      </c>
      <c r="C24">
        <v>1982</v>
      </c>
    </row>
    <row r="25" spans="1:3" x14ac:dyDescent="0.35">
      <c r="A25">
        <v>73</v>
      </c>
      <c r="B25" t="s">
        <v>61</v>
      </c>
      <c r="C25">
        <v>1984</v>
      </c>
    </row>
    <row r="26" spans="1:3" x14ac:dyDescent="0.35">
      <c r="A26">
        <v>74</v>
      </c>
      <c r="B26" t="s">
        <v>62</v>
      </c>
      <c r="C26">
        <v>1986</v>
      </c>
    </row>
    <row r="27" spans="1:3" x14ac:dyDescent="0.35">
      <c r="A27">
        <v>75</v>
      </c>
      <c r="B27" t="s">
        <v>63</v>
      </c>
      <c r="C27">
        <v>1968</v>
      </c>
    </row>
    <row r="28" spans="1:3" x14ac:dyDescent="0.35">
      <c r="A28">
        <v>76</v>
      </c>
      <c r="B28" t="s">
        <v>64</v>
      </c>
      <c r="C28">
        <v>1972</v>
      </c>
    </row>
    <row r="29" spans="1:3" x14ac:dyDescent="0.35">
      <c r="A29">
        <v>77</v>
      </c>
      <c r="B29" t="s">
        <v>65</v>
      </c>
      <c r="C29">
        <v>1964</v>
      </c>
    </row>
    <row r="30" spans="1:3" x14ac:dyDescent="0.35">
      <c r="A30">
        <v>78</v>
      </c>
      <c r="B30" t="s">
        <v>66</v>
      </c>
      <c r="C30">
        <v>1974</v>
      </c>
    </row>
    <row r="31" spans="1:3" x14ac:dyDescent="0.35">
      <c r="A31">
        <v>79</v>
      </c>
      <c r="B31" t="s">
        <v>67</v>
      </c>
      <c r="C31">
        <v>1975</v>
      </c>
    </row>
    <row r="32" spans="1:3" x14ac:dyDescent="0.35">
      <c r="A32">
        <v>80</v>
      </c>
      <c r="B32" t="s">
        <v>68</v>
      </c>
      <c r="C32">
        <v>1908</v>
      </c>
    </row>
    <row r="33" spans="1:3" x14ac:dyDescent="0.35">
      <c r="A33">
        <v>81</v>
      </c>
      <c r="B33" t="s">
        <v>69</v>
      </c>
      <c r="C33">
        <v>1921</v>
      </c>
    </row>
    <row r="34" spans="1:3" x14ac:dyDescent="0.35">
      <c r="A34">
        <v>82</v>
      </c>
      <c r="B34" t="s">
        <v>70</v>
      </c>
      <c r="C34">
        <v>1976</v>
      </c>
    </row>
    <row r="35" spans="1:3" x14ac:dyDescent="0.35">
      <c r="A35">
        <v>83</v>
      </c>
      <c r="B35" t="s">
        <v>71</v>
      </c>
      <c r="C35">
        <v>1978</v>
      </c>
    </row>
    <row r="36" spans="1:3" x14ac:dyDescent="0.35">
      <c r="A36">
        <v>84</v>
      </c>
      <c r="B36" t="s">
        <v>72</v>
      </c>
      <c r="C36">
        <v>1924</v>
      </c>
    </row>
    <row r="37" spans="1:3" x14ac:dyDescent="0.35">
      <c r="A37">
        <v>85</v>
      </c>
      <c r="B37" t="s">
        <v>73</v>
      </c>
      <c r="C37">
        <v>1940</v>
      </c>
    </row>
    <row r="38" spans="1:3" x14ac:dyDescent="0.35">
      <c r="A38">
        <v>86</v>
      </c>
      <c r="B38" t="s">
        <v>74</v>
      </c>
      <c r="C38">
        <v>1974</v>
      </c>
    </row>
    <row r="39" spans="1:3" x14ac:dyDescent="0.35">
      <c r="A39">
        <v>87</v>
      </c>
      <c r="B39" t="s">
        <v>75</v>
      </c>
      <c r="C39">
        <v>1979</v>
      </c>
    </row>
    <row r="40" spans="1:3" x14ac:dyDescent="0.35">
      <c r="A40">
        <v>88</v>
      </c>
      <c r="B40" t="s">
        <v>76</v>
      </c>
      <c r="C40">
        <v>1952</v>
      </c>
    </row>
    <row r="41" spans="1:3" x14ac:dyDescent="0.35">
      <c r="A41">
        <v>89</v>
      </c>
      <c r="B41" t="s">
        <v>77</v>
      </c>
      <c r="C41">
        <v>1943</v>
      </c>
    </row>
    <row r="42" spans="1:3" x14ac:dyDescent="0.35">
      <c r="A42">
        <v>90</v>
      </c>
      <c r="B42" t="s">
        <v>78</v>
      </c>
      <c r="C42">
        <v>1947</v>
      </c>
    </row>
    <row r="43" spans="1:3" x14ac:dyDescent="0.35">
      <c r="A43">
        <v>91</v>
      </c>
      <c r="B43" t="s">
        <v>79</v>
      </c>
      <c r="C43">
        <v>1967</v>
      </c>
    </row>
    <row r="44" spans="1:3" x14ac:dyDescent="0.35">
      <c r="A44">
        <v>92</v>
      </c>
      <c r="B44" t="s">
        <v>80</v>
      </c>
      <c r="C44">
        <v>1967</v>
      </c>
    </row>
    <row r="45" spans="1:3" x14ac:dyDescent="0.35">
      <c r="A45">
        <v>93</v>
      </c>
      <c r="B45" t="s">
        <v>81</v>
      </c>
      <c r="C45">
        <v>1975</v>
      </c>
    </row>
    <row r="46" spans="1:3" x14ac:dyDescent="0.35">
      <c r="A46">
        <v>94</v>
      </c>
      <c r="B46" t="s">
        <v>82</v>
      </c>
      <c r="C46">
        <v>1965</v>
      </c>
    </row>
    <row r="47" spans="1:3" x14ac:dyDescent="0.35">
      <c r="A47">
        <v>95</v>
      </c>
      <c r="B47" t="s">
        <v>83</v>
      </c>
      <c r="C47">
        <v>1981</v>
      </c>
    </row>
    <row r="48" spans="1:3" x14ac:dyDescent="0.35">
      <c r="A48">
        <v>150</v>
      </c>
      <c r="B48" t="s">
        <v>84</v>
      </c>
      <c r="C48">
        <v>1905</v>
      </c>
    </row>
    <row r="49" spans="1:3" x14ac:dyDescent="0.35">
      <c r="A49">
        <v>151</v>
      </c>
      <c r="B49" t="s">
        <v>85</v>
      </c>
      <c r="C49">
        <v>1919</v>
      </c>
    </row>
    <row r="50" spans="1:3" x14ac:dyDescent="0.35">
      <c r="A50">
        <v>152</v>
      </c>
      <c r="B50" t="s">
        <v>86</v>
      </c>
      <c r="C50">
        <v>1997</v>
      </c>
    </row>
    <row r="51" spans="1:3" x14ac:dyDescent="0.35">
      <c r="A51">
        <v>153</v>
      </c>
      <c r="B51" t="s">
        <v>87</v>
      </c>
      <c r="C51">
        <v>1929</v>
      </c>
    </row>
    <row r="52" spans="1:3" x14ac:dyDescent="0.35">
      <c r="A52">
        <v>154</v>
      </c>
      <c r="B52" t="s">
        <v>88</v>
      </c>
      <c r="C52">
        <v>1988</v>
      </c>
    </row>
    <row r="53" spans="1:3" x14ac:dyDescent="0.35">
      <c r="A53">
        <v>155</v>
      </c>
      <c r="B53" t="s">
        <v>89</v>
      </c>
      <c r="C53">
        <v>1982</v>
      </c>
    </row>
    <row r="54" spans="1:3" x14ac:dyDescent="0.35">
      <c r="A54">
        <v>156</v>
      </c>
      <c r="B54" t="s">
        <v>90</v>
      </c>
      <c r="C54">
        <v>1982</v>
      </c>
    </row>
    <row r="55" spans="1:3" x14ac:dyDescent="0.35">
      <c r="A55">
        <v>157</v>
      </c>
      <c r="B55" t="s">
        <v>91</v>
      </c>
      <c r="C55">
        <v>1982</v>
      </c>
    </row>
    <row r="56" spans="1:3" x14ac:dyDescent="0.35">
      <c r="A56">
        <v>158</v>
      </c>
      <c r="B56" t="s">
        <v>92</v>
      </c>
      <c r="C56">
        <v>1983</v>
      </c>
    </row>
    <row r="57" spans="1:3" x14ac:dyDescent="0.35">
      <c r="A57">
        <v>159</v>
      </c>
      <c r="B57" t="s">
        <v>93</v>
      </c>
      <c r="C57">
        <v>1985</v>
      </c>
    </row>
    <row r="58" spans="1:3" x14ac:dyDescent="0.35">
      <c r="A58">
        <v>160</v>
      </c>
      <c r="B58" t="s">
        <v>94</v>
      </c>
      <c r="C58">
        <v>1979</v>
      </c>
    </row>
    <row r="59" spans="1:3" x14ac:dyDescent="0.35">
      <c r="A59">
        <v>161</v>
      </c>
      <c r="B59" t="s">
        <v>95</v>
      </c>
      <c r="C59">
        <v>1984</v>
      </c>
    </row>
    <row r="60" spans="1:3" x14ac:dyDescent="0.35">
      <c r="A60">
        <v>162</v>
      </c>
      <c r="B60" t="s">
        <v>96</v>
      </c>
      <c r="C60">
        <v>1950</v>
      </c>
    </row>
    <row r="61" spans="1:3" x14ac:dyDescent="0.35">
      <c r="A61">
        <v>163</v>
      </c>
      <c r="B61" t="s">
        <v>97</v>
      </c>
      <c r="C61">
        <v>1955</v>
      </c>
    </row>
    <row r="62" spans="1:3" x14ac:dyDescent="0.35">
      <c r="A62">
        <v>164</v>
      </c>
      <c r="B62" t="s">
        <v>98</v>
      </c>
      <c r="C62">
        <v>1965</v>
      </c>
    </row>
    <row r="63" spans="1:3" x14ac:dyDescent="0.35">
      <c r="A63">
        <v>165</v>
      </c>
      <c r="B63" t="s">
        <v>99</v>
      </c>
      <c r="C63">
        <v>1967</v>
      </c>
    </row>
    <row r="64" spans="1:3" x14ac:dyDescent="0.35">
      <c r="A64">
        <v>166</v>
      </c>
      <c r="B64" t="s">
        <v>100</v>
      </c>
      <c r="C64">
        <v>1946</v>
      </c>
    </row>
    <row r="65" spans="1:3" x14ac:dyDescent="0.35">
      <c r="A65">
        <v>167</v>
      </c>
      <c r="B65" t="s">
        <v>101</v>
      </c>
      <c r="C65">
        <v>1982</v>
      </c>
    </row>
    <row r="66" spans="1:3" x14ac:dyDescent="0.35">
      <c r="A66">
        <v>168</v>
      </c>
      <c r="B66" t="s">
        <v>102</v>
      </c>
      <c r="C66">
        <v>1956</v>
      </c>
    </row>
    <row r="67" spans="1:3" x14ac:dyDescent="0.35">
      <c r="A67">
        <v>169</v>
      </c>
      <c r="B67" t="s">
        <v>103</v>
      </c>
      <c r="C67">
        <v>1985</v>
      </c>
    </row>
    <row r="68" spans="1:3" x14ac:dyDescent="0.35">
      <c r="A68">
        <v>170</v>
      </c>
      <c r="B68" t="s">
        <v>104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D16" sqref="D16"/>
    </sheetView>
  </sheetViews>
  <sheetFormatPr defaultRowHeight="14.5" x14ac:dyDescent="0.35"/>
  <cols>
    <col min="1" max="1" width="9.81640625" customWidth="1"/>
  </cols>
  <sheetData>
    <row r="1" spans="1:2" x14ac:dyDescent="0.35">
      <c r="A1" s="2" t="s">
        <v>0</v>
      </c>
      <c r="B1" s="2" t="s">
        <v>35</v>
      </c>
    </row>
    <row r="2" spans="1:2" x14ac:dyDescent="0.35">
      <c r="A2">
        <v>101</v>
      </c>
      <c r="B2">
        <v>50</v>
      </c>
    </row>
    <row r="3" spans="1:2" x14ac:dyDescent="0.35">
      <c r="A3">
        <v>101</v>
      </c>
      <c r="B3">
        <v>51</v>
      </c>
    </row>
    <row r="4" spans="1:2" x14ac:dyDescent="0.35">
      <c r="A4">
        <v>102</v>
      </c>
      <c r="B4">
        <v>52</v>
      </c>
    </row>
    <row r="5" spans="1:2" x14ac:dyDescent="0.35">
      <c r="A5">
        <v>102</v>
      </c>
      <c r="B5">
        <v>53</v>
      </c>
    </row>
    <row r="6" spans="1:2" x14ac:dyDescent="0.35">
      <c r="A6">
        <v>103</v>
      </c>
      <c r="B6">
        <v>54</v>
      </c>
    </row>
    <row r="7" spans="1:2" x14ac:dyDescent="0.35">
      <c r="A7">
        <v>103</v>
      </c>
      <c r="B7">
        <v>55</v>
      </c>
    </row>
    <row r="8" spans="1:2" x14ac:dyDescent="0.35">
      <c r="A8">
        <v>103</v>
      </c>
      <c r="B8">
        <v>56</v>
      </c>
    </row>
    <row r="9" spans="1:2" x14ac:dyDescent="0.35">
      <c r="A9">
        <v>104</v>
      </c>
      <c r="B9">
        <v>54</v>
      </c>
    </row>
    <row r="10" spans="1:2" x14ac:dyDescent="0.35">
      <c r="A10">
        <v>104</v>
      </c>
      <c r="B10">
        <v>56</v>
      </c>
    </row>
    <row r="11" spans="1:2" x14ac:dyDescent="0.35">
      <c r="A11">
        <v>105</v>
      </c>
      <c r="B11">
        <v>54</v>
      </c>
    </row>
    <row r="12" spans="1:2" x14ac:dyDescent="0.35">
      <c r="A12">
        <v>105</v>
      </c>
      <c r="B12">
        <v>55</v>
      </c>
    </row>
    <row r="13" spans="1:2" x14ac:dyDescent="0.35">
      <c r="A13">
        <v>106</v>
      </c>
      <c r="B13">
        <v>57</v>
      </c>
    </row>
    <row r="14" spans="1:2" x14ac:dyDescent="0.35">
      <c r="A14">
        <v>106</v>
      </c>
      <c r="B14">
        <v>58</v>
      </c>
    </row>
    <row r="15" spans="1:2" x14ac:dyDescent="0.35">
      <c r="A15">
        <v>107</v>
      </c>
      <c r="B15">
        <v>59</v>
      </c>
    </row>
    <row r="16" spans="1:2" x14ac:dyDescent="0.35">
      <c r="A16">
        <v>107</v>
      </c>
      <c r="B16">
        <v>60</v>
      </c>
    </row>
    <row r="17" spans="1:2" x14ac:dyDescent="0.35">
      <c r="A17">
        <v>108</v>
      </c>
      <c r="B17">
        <v>61</v>
      </c>
    </row>
    <row r="18" spans="1:2" x14ac:dyDescent="0.35">
      <c r="A18">
        <v>108</v>
      </c>
      <c r="B18">
        <v>62</v>
      </c>
    </row>
    <row r="19" spans="1:2" x14ac:dyDescent="0.35">
      <c r="A19">
        <v>108</v>
      </c>
      <c r="B19">
        <v>63</v>
      </c>
    </row>
    <row r="20" spans="1:2" x14ac:dyDescent="0.35">
      <c r="A20">
        <v>109</v>
      </c>
      <c r="B20">
        <v>59</v>
      </c>
    </row>
    <row r="21" spans="1:2" x14ac:dyDescent="0.35">
      <c r="A21">
        <v>109</v>
      </c>
      <c r="B21">
        <v>57</v>
      </c>
    </row>
    <row r="22" spans="1:2" x14ac:dyDescent="0.35">
      <c r="A22">
        <v>109</v>
      </c>
      <c r="B22">
        <v>64</v>
      </c>
    </row>
    <row r="23" spans="1:2" x14ac:dyDescent="0.35">
      <c r="A23">
        <v>110</v>
      </c>
      <c r="B23">
        <v>65</v>
      </c>
    </row>
    <row r="24" spans="1:2" x14ac:dyDescent="0.35">
      <c r="A24">
        <v>110</v>
      </c>
      <c r="B24">
        <v>66</v>
      </c>
    </row>
    <row r="25" spans="1:2" x14ac:dyDescent="0.35">
      <c r="A25">
        <v>111</v>
      </c>
      <c r="B25">
        <v>67</v>
      </c>
    </row>
    <row r="26" spans="1:2" x14ac:dyDescent="0.35">
      <c r="A26">
        <v>111</v>
      </c>
      <c r="B26">
        <v>68</v>
      </c>
    </row>
    <row r="27" spans="1:2" x14ac:dyDescent="0.35">
      <c r="A27">
        <v>112</v>
      </c>
      <c r="B27">
        <v>69</v>
      </c>
    </row>
    <row r="28" spans="1:2" x14ac:dyDescent="0.35">
      <c r="A28">
        <v>112</v>
      </c>
      <c r="B28">
        <v>70</v>
      </c>
    </row>
    <row r="29" spans="1:2" x14ac:dyDescent="0.35">
      <c r="A29">
        <v>113</v>
      </c>
      <c r="B29">
        <v>71</v>
      </c>
    </row>
    <row r="30" spans="1:2" x14ac:dyDescent="0.35">
      <c r="A30">
        <v>113</v>
      </c>
      <c r="B30">
        <v>72</v>
      </c>
    </row>
    <row r="31" spans="1:2" x14ac:dyDescent="0.35">
      <c r="A31">
        <v>114</v>
      </c>
      <c r="B31">
        <v>73</v>
      </c>
    </row>
    <row r="32" spans="1:2" x14ac:dyDescent="0.35">
      <c r="A32">
        <v>114</v>
      </c>
      <c r="B32">
        <v>74</v>
      </c>
    </row>
    <row r="33" spans="1:2" x14ac:dyDescent="0.35">
      <c r="A33">
        <v>115</v>
      </c>
      <c r="B33">
        <v>75</v>
      </c>
    </row>
    <row r="34" spans="1:2" x14ac:dyDescent="0.35">
      <c r="A34">
        <v>115</v>
      </c>
      <c r="B34">
        <v>76</v>
      </c>
    </row>
    <row r="35" spans="1:2" x14ac:dyDescent="0.35">
      <c r="A35">
        <v>116</v>
      </c>
      <c r="B35">
        <v>77</v>
      </c>
    </row>
    <row r="36" spans="1:2" x14ac:dyDescent="0.35">
      <c r="A36">
        <v>116</v>
      </c>
      <c r="B36">
        <v>78</v>
      </c>
    </row>
    <row r="37" spans="1:2" x14ac:dyDescent="0.35">
      <c r="A37">
        <v>117</v>
      </c>
      <c r="B37">
        <v>69</v>
      </c>
    </row>
    <row r="38" spans="1:2" x14ac:dyDescent="0.35">
      <c r="A38">
        <v>117</v>
      </c>
      <c r="B38">
        <v>79</v>
      </c>
    </row>
    <row r="39" spans="1:2" x14ac:dyDescent="0.35">
      <c r="A39">
        <v>118</v>
      </c>
      <c r="B39">
        <v>80</v>
      </c>
    </row>
    <row r="40" spans="1:2" x14ac:dyDescent="0.35">
      <c r="A40">
        <v>118</v>
      </c>
      <c r="B40">
        <v>81</v>
      </c>
    </row>
    <row r="41" spans="1:2" x14ac:dyDescent="0.35">
      <c r="A41">
        <v>119</v>
      </c>
      <c r="B41">
        <v>82</v>
      </c>
    </row>
    <row r="42" spans="1:2" x14ac:dyDescent="0.35">
      <c r="A42">
        <v>119</v>
      </c>
      <c r="B42">
        <v>83</v>
      </c>
    </row>
    <row r="43" spans="1:2" x14ac:dyDescent="0.35">
      <c r="A43">
        <v>120</v>
      </c>
      <c r="B43">
        <v>84</v>
      </c>
    </row>
    <row r="44" spans="1:2" x14ac:dyDescent="0.35">
      <c r="A44">
        <v>120</v>
      </c>
      <c r="B44">
        <v>85</v>
      </c>
    </row>
    <row r="45" spans="1:2" x14ac:dyDescent="0.35">
      <c r="A45">
        <v>121</v>
      </c>
      <c r="B45">
        <v>86</v>
      </c>
    </row>
    <row r="46" spans="1:2" x14ac:dyDescent="0.35">
      <c r="A46">
        <v>121</v>
      </c>
      <c r="B46">
        <v>87</v>
      </c>
    </row>
    <row r="47" spans="1:2" x14ac:dyDescent="0.35">
      <c r="A47">
        <v>122</v>
      </c>
      <c r="B47">
        <v>88</v>
      </c>
    </row>
    <row r="48" spans="1:2" x14ac:dyDescent="0.35">
      <c r="A48">
        <v>122</v>
      </c>
      <c r="B48">
        <v>89</v>
      </c>
    </row>
    <row r="49" spans="1:2" x14ac:dyDescent="0.35">
      <c r="A49">
        <v>123</v>
      </c>
      <c r="B49">
        <v>90</v>
      </c>
    </row>
    <row r="50" spans="1:2" x14ac:dyDescent="0.35">
      <c r="A50">
        <v>123</v>
      </c>
      <c r="B50">
        <v>91</v>
      </c>
    </row>
    <row r="51" spans="1:2" x14ac:dyDescent="0.35">
      <c r="A51">
        <v>124</v>
      </c>
      <c r="B51">
        <v>92</v>
      </c>
    </row>
    <row r="52" spans="1:2" x14ac:dyDescent="0.35">
      <c r="A52">
        <v>124</v>
      </c>
      <c r="B52">
        <v>93</v>
      </c>
    </row>
    <row r="53" spans="1:2" x14ac:dyDescent="0.35">
      <c r="A53">
        <v>125</v>
      </c>
      <c r="B53">
        <v>94</v>
      </c>
    </row>
    <row r="54" spans="1:2" x14ac:dyDescent="0.35">
      <c r="A54">
        <v>125</v>
      </c>
      <c r="B54">
        <v>95</v>
      </c>
    </row>
    <row r="55" spans="1:2" x14ac:dyDescent="0.35">
      <c r="A55">
        <v>125</v>
      </c>
      <c r="B55">
        <v>54</v>
      </c>
    </row>
    <row r="56" spans="1:2" x14ac:dyDescent="0.35">
      <c r="A56">
        <v>126</v>
      </c>
      <c r="B56">
        <v>94</v>
      </c>
    </row>
    <row r="57" spans="1:2" x14ac:dyDescent="0.35">
      <c r="A57">
        <v>126</v>
      </c>
      <c r="B57">
        <v>95</v>
      </c>
    </row>
    <row r="58" spans="1:2" x14ac:dyDescent="0.35">
      <c r="A58">
        <v>126</v>
      </c>
      <c r="B58">
        <v>54</v>
      </c>
    </row>
    <row r="59" spans="1:2" x14ac:dyDescent="0.35">
      <c r="A59">
        <v>127</v>
      </c>
      <c r="B59">
        <v>150</v>
      </c>
    </row>
    <row r="60" spans="1:2" x14ac:dyDescent="0.35">
      <c r="A60">
        <v>127</v>
      </c>
      <c r="B60">
        <v>151</v>
      </c>
    </row>
    <row r="61" spans="1:2" x14ac:dyDescent="0.35">
      <c r="A61">
        <v>128</v>
      </c>
      <c r="B61">
        <v>61</v>
      </c>
    </row>
    <row r="62" spans="1:2" x14ac:dyDescent="0.35">
      <c r="A62">
        <v>128</v>
      </c>
      <c r="B62">
        <v>152</v>
      </c>
    </row>
    <row r="63" spans="1:2" x14ac:dyDescent="0.35">
      <c r="A63">
        <v>129</v>
      </c>
      <c r="B63">
        <v>51</v>
      </c>
    </row>
    <row r="64" spans="1:2" x14ac:dyDescent="0.35">
      <c r="A64">
        <v>129</v>
      </c>
      <c r="B64">
        <v>153</v>
      </c>
    </row>
    <row r="65" spans="1:2" x14ac:dyDescent="0.35">
      <c r="A65">
        <v>130</v>
      </c>
      <c r="B65">
        <v>61</v>
      </c>
    </row>
    <row r="66" spans="1:2" x14ac:dyDescent="0.35">
      <c r="A66">
        <v>130</v>
      </c>
      <c r="B66">
        <v>154</v>
      </c>
    </row>
    <row r="67" spans="1:2" x14ac:dyDescent="0.35">
      <c r="A67">
        <v>131</v>
      </c>
      <c r="B67">
        <v>155</v>
      </c>
    </row>
    <row r="68" spans="1:2" x14ac:dyDescent="0.35">
      <c r="A68">
        <v>131</v>
      </c>
      <c r="B68">
        <v>154</v>
      </c>
    </row>
    <row r="69" spans="1:2" x14ac:dyDescent="0.35">
      <c r="A69">
        <v>132</v>
      </c>
      <c r="B69">
        <v>156</v>
      </c>
    </row>
    <row r="70" spans="1:2" x14ac:dyDescent="0.35">
      <c r="A70">
        <v>132</v>
      </c>
      <c r="B70">
        <v>157</v>
      </c>
    </row>
    <row r="71" spans="1:2" x14ac:dyDescent="0.35">
      <c r="A71">
        <v>133</v>
      </c>
      <c r="B71">
        <v>158</v>
      </c>
    </row>
    <row r="72" spans="1:2" x14ac:dyDescent="0.35">
      <c r="A72">
        <v>133</v>
      </c>
      <c r="B72">
        <v>159</v>
      </c>
    </row>
    <row r="73" spans="1:2" x14ac:dyDescent="0.35">
      <c r="A73">
        <v>134</v>
      </c>
      <c r="B73">
        <v>160</v>
      </c>
    </row>
    <row r="74" spans="1:2" x14ac:dyDescent="0.35">
      <c r="A74">
        <v>134</v>
      </c>
      <c r="B74">
        <v>161</v>
      </c>
    </row>
    <row r="75" spans="1:2" x14ac:dyDescent="0.35">
      <c r="A75">
        <v>135</v>
      </c>
      <c r="B75">
        <v>162</v>
      </c>
    </row>
    <row r="76" spans="1:2" x14ac:dyDescent="0.35">
      <c r="A76">
        <v>135</v>
      </c>
      <c r="B76">
        <v>163</v>
      </c>
    </row>
    <row r="77" spans="1:2" x14ac:dyDescent="0.35">
      <c r="A77">
        <v>136</v>
      </c>
      <c r="B77">
        <v>164</v>
      </c>
    </row>
    <row r="78" spans="1:2" x14ac:dyDescent="0.35">
      <c r="A78">
        <v>136</v>
      </c>
      <c r="B78">
        <v>165</v>
      </c>
    </row>
    <row r="79" spans="1:2" x14ac:dyDescent="0.35">
      <c r="A79">
        <v>137</v>
      </c>
      <c r="B79">
        <v>95</v>
      </c>
    </row>
    <row r="80" spans="1:2" x14ac:dyDescent="0.35">
      <c r="A80">
        <v>137</v>
      </c>
      <c r="B80">
        <v>166</v>
      </c>
    </row>
    <row r="81" spans="1:2" x14ac:dyDescent="0.35">
      <c r="A81">
        <v>138</v>
      </c>
      <c r="B81">
        <v>95</v>
      </c>
    </row>
    <row r="82" spans="1:2" x14ac:dyDescent="0.35">
      <c r="A82">
        <v>138</v>
      </c>
      <c r="B82">
        <v>167</v>
      </c>
    </row>
    <row r="83" spans="1:2" x14ac:dyDescent="0.35">
      <c r="A83">
        <v>139</v>
      </c>
      <c r="B83">
        <v>164</v>
      </c>
    </row>
    <row r="84" spans="1:2" x14ac:dyDescent="0.35">
      <c r="A84">
        <v>139</v>
      </c>
      <c r="B84">
        <v>168</v>
      </c>
    </row>
    <row r="85" spans="1:2" x14ac:dyDescent="0.35">
      <c r="A85">
        <v>140</v>
      </c>
      <c r="B85">
        <v>169</v>
      </c>
    </row>
    <row r="86" spans="1:2" x14ac:dyDescent="0.35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A4" sqref="A4"/>
    </sheetView>
  </sheetViews>
  <sheetFormatPr defaultRowHeight="14.5" x14ac:dyDescent="0.35"/>
  <cols>
    <col min="1" max="1" width="12.453125" customWidth="1"/>
  </cols>
  <sheetData>
    <row r="1" spans="1:2" x14ac:dyDescent="0.35">
      <c r="A1" s="2" t="s">
        <v>5</v>
      </c>
      <c r="B1" s="2" t="s">
        <v>36</v>
      </c>
    </row>
    <row r="2" spans="1:2" x14ac:dyDescent="0.35">
      <c r="A2">
        <v>1</v>
      </c>
      <c r="B2" t="s">
        <v>105</v>
      </c>
    </row>
    <row r="3" spans="1:2" x14ac:dyDescent="0.35">
      <c r="A3">
        <v>2</v>
      </c>
      <c r="B3" t="s">
        <v>106</v>
      </c>
    </row>
    <row r="4" spans="1:2" x14ac:dyDescent="0.35">
      <c r="A4">
        <v>3</v>
      </c>
      <c r="B4" t="s">
        <v>107</v>
      </c>
    </row>
    <row r="5" spans="1:2" x14ac:dyDescent="0.35">
      <c r="A5">
        <v>4</v>
      </c>
      <c r="B5" t="s">
        <v>108</v>
      </c>
    </row>
    <row r="6" spans="1:2" x14ac:dyDescent="0.35">
      <c r="A6">
        <v>5</v>
      </c>
      <c r="B6" t="s">
        <v>109</v>
      </c>
    </row>
    <row r="7" spans="1:2" x14ac:dyDescent="0.35">
      <c r="A7">
        <v>6</v>
      </c>
      <c r="B7" t="s">
        <v>110</v>
      </c>
    </row>
    <row r="8" spans="1:2" x14ac:dyDescent="0.35">
      <c r="A8">
        <v>7</v>
      </c>
      <c r="B8" t="s">
        <v>111</v>
      </c>
    </row>
    <row r="9" spans="1:2" x14ac:dyDescent="0.35">
      <c r="A9">
        <v>8</v>
      </c>
      <c r="B9" t="s">
        <v>112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6775-5EF1-43A6-BDB0-6C78557BC800}">
  <sheetPr>
    <tabColor rgb="FF1D2330"/>
  </sheetPr>
  <dimension ref="A1:E9"/>
  <sheetViews>
    <sheetView tabSelected="1" zoomScale="76" workbookViewId="0">
      <selection activeCell="P16" sqref="P16"/>
    </sheetView>
  </sheetViews>
  <sheetFormatPr defaultRowHeight="14.5" x14ac:dyDescent="0.35"/>
  <cols>
    <col min="1" max="1" width="15.36328125" bestFit="1" customWidth="1"/>
    <col min="2" max="2" width="18.6328125" bestFit="1" customWidth="1"/>
    <col min="3" max="3" width="16.26953125" bestFit="1" customWidth="1"/>
    <col min="4" max="4" width="23.26953125" bestFit="1" customWidth="1"/>
    <col min="5" max="5" width="26.81640625" bestFit="1" customWidth="1"/>
  </cols>
  <sheetData>
    <row r="1" spans="1:5" ht="15" thickBot="1" x14ac:dyDescent="0.4">
      <c r="A1" s="11" t="s">
        <v>5</v>
      </c>
      <c r="B1" s="7" t="s">
        <v>257</v>
      </c>
      <c r="C1" s="7" t="s">
        <v>258</v>
      </c>
      <c r="D1" s="7" t="s">
        <v>259</v>
      </c>
      <c r="E1" s="12" t="s">
        <v>260</v>
      </c>
    </row>
    <row r="2" spans="1:5" x14ac:dyDescent="0.35">
      <c r="A2" s="8">
        <v>1</v>
      </c>
      <c r="B2" s="9" t="s">
        <v>105</v>
      </c>
      <c r="C2" s="17">
        <f>COUNTIF(MovieFinancials!$G$2:$G$44,A2)</f>
        <v>15</v>
      </c>
      <c r="D2" s="19">
        <f>IF(C2=0,0,IFERROR(AVERAGEIF(MovieFinancials!$G$2:$G$44,A2,MovieFinancials!$E$2:$E$44),0))</f>
        <v>7.1428571428571432</v>
      </c>
      <c r="E2" s="21">
        <f>SUMIF(MovieFinancials!$G$2:$G$44,A2,MovieFinancials!$R$2:$R$44)-SUMIF(MovieFinancials!$G$2:$G$44,A2,MovieFinancials!$Q$2:$Q$44)</f>
        <v>444.98749999999995</v>
      </c>
    </row>
    <row r="3" spans="1:5" x14ac:dyDescent="0.35">
      <c r="A3" s="10">
        <v>2</v>
      </c>
      <c r="B3" s="4" t="s">
        <v>106</v>
      </c>
      <c r="C3" s="18">
        <f>COUNTIF(MovieFinancials!$G$2:$G$44,A3)</f>
        <v>3</v>
      </c>
      <c r="D3" s="20">
        <f>IF(C3=0,0,IFERROR(AVERAGEIF(MovieFinancials!$G$2:$G$44,A3,MovieFinancials!$E$2:$E$44),0))</f>
        <v>7.8666666666666671</v>
      </c>
      <c r="E3" s="22">
        <f>SUMIF(MovieFinancials!$G$2:$G$44,A3,MovieFinancials!$R$2:$R$44)-SUMIF(MovieFinancials!$G$2:$G$44,A3,MovieFinancials!$Q$2:$Q$44)</f>
        <v>160</v>
      </c>
    </row>
    <row r="4" spans="1:5" x14ac:dyDescent="0.35">
      <c r="A4" s="10">
        <v>3</v>
      </c>
      <c r="B4" s="4" t="s">
        <v>107</v>
      </c>
      <c r="C4" s="18">
        <f>COUNTIF(MovieFinancials!$G$2:$G$44,A4)</f>
        <v>1</v>
      </c>
      <c r="D4" s="20">
        <f>IF(C4=0,0,IFERROR(AVERAGEIF(MovieFinancials!$G$2:$G$44,A4,MovieFinancials!$E$2:$E$44),0))</f>
        <v>8.4</v>
      </c>
      <c r="E4" s="22">
        <f>SUMIF(MovieFinancials!$G$2:$G$44,A4,MovieFinancials!$R$2:$R$44)-SUMIF(MovieFinancials!$G$2:$G$44,A4,MovieFinancials!$Q$2:$Q$44)</f>
        <v>143.75</v>
      </c>
    </row>
    <row r="5" spans="1:5" x14ac:dyDescent="0.35">
      <c r="A5" s="10">
        <v>4</v>
      </c>
      <c r="B5" s="4" t="s">
        <v>108</v>
      </c>
      <c r="C5" s="18">
        <f>COUNTIF(MovieFinancials!$G$2:$G$44,A5)</f>
        <v>0</v>
      </c>
      <c r="D5" s="20">
        <f>IF(C5=0,0,IFERROR(AVERAGEIF(MovieFinancials!$G$2:$G$44,A5,MovieFinancials!$E$2:$E$44),0))</f>
        <v>0</v>
      </c>
      <c r="E5" s="22">
        <f>SUMIF(MovieFinancials!$G$2:$G$44,A5,MovieFinancials!$R$2:$R$44)-SUMIF(MovieFinancials!$G$2:$G$44,A5,MovieFinancials!$Q$2:$Q$44)</f>
        <v>0</v>
      </c>
    </row>
    <row r="6" spans="1:5" x14ac:dyDescent="0.35">
      <c r="A6" s="10">
        <v>5</v>
      </c>
      <c r="B6" s="4" t="s">
        <v>109</v>
      </c>
      <c r="C6" s="18">
        <f>COUNTIF(MovieFinancials!$G$2:$G$44,A6)</f>
        <v>23</v>
      </c>
      <c r="D6" s="20">
        <f>IF(C6=0,0,IFERROR(AVERAGEIF(MovieFinancials!$G$2:$G$44,A6,MovieFinancials!$E$2:$E$44),0))</f>
        <v>7.839130434782609</v>
      </c>
      <c r="E6" s="22">
        <f>SUMIF(MovieFinancials!$G$2:$G$44,A6,MovieFinancials!$R$2:$R$44)-SUMIF(MovieFinancials!$G$2:$G$44,A6,MovieFinancials!$Q$2:$Q$44)</f>
        <v>15472.320000000002</v>
      </c>
    </row>
    <row r="7" spans="1:5" x14ac:dyDescent="0.35">
      <c r="A7" s="10">
        <v>6</v>
      </c>
      <c r="B7" s="4" t="s">
        <v>110</v>
      </c>
      <c r="C7" s="18">
        <f>COUNTIF(MovieFinancials!$G$2:$G$44,A7)</f>
        <v>0</v>
      </c>
      <c r="D7" s="20">
        <f>IF(C7=0,0,IFERROR(AVERAGEIF(MovieFinancials!$G$2:$G$44,A7,MovieFinancials!$E$2:$E$44),0))</f>
        <v>0</v>
      </c>
      <c r="E7" s="22">
        <f>SUMIF(MovieFinancials!$G$2:$G$44,A7,MovieFinancials!$R$2:$R$44)-SUMIF(MovieFinancials!$G$2:$G$44,A7,MovieFinancials!$Q$2:$Q$44)</f>
        <v>0</v>
      </c>
    </row>
    <row r="8" spans="1:5" x14ac:dyDescent="0.35">
      <c r="A8" s="10">
        <v>7</v>
      </c>
      <c r="B8" s="4" t="s">
        <v>111</v>
      </c>
      <c r="C8" s="18">
        <f>COUNTIF(MovieFinancials!$G$2:$G$44,A8)</f>
        <v>1</v>
      </c>
      <c r="D8" s="20">
        <f>IF(C8=0,0,IFERROR(AVERAGEIF(MovieFinancials!$G$2:$G$44,A8,MovieFinancials!$E$2:$E$44),0))</f>
        <v>8.3000000000000007</v>
      </c>
      <c r="E8" s="22">
        <f>SUMIF(MovieFinancials!$G$2:$G$44,A8,MovieFinancials!$R$2:$R$44)-SUMIF(MovieFinancials!$G$2:$G$44,A8,MovieFinancials!$Q$2:$Q$44)</f>
        <v>0.375</v>
      </c>
    </row>
    <row r="9" spans="1:5" x14ac:dyDescent="0.35">
      <c r="A9" s="10">
        <v>8</v>
      </c>
      <c r="B9" s="4" t="s">
        <v>112</v>
      </c>
      <c r="C9" s="18">
        <f>COUNTIF(MovieFinancials!$G$2:$G$44,A9)</f>
        <v>0</v>
      </c>
      <c r="D9" s="20">
        <f>IF(C9=0,0,IFERROR(AVERAGEIF(MovieFinancials!$G$2:$G$44,A9,MovieFinancials!$E$2:$E$44),0))</f>
        <v>0</v>
      </c>
      <c r="E9" s="22">
        <f>SUMIF(MovieFinancials!$G$2:$G$44,A9,MovieFinancials!$R$2:$R$44)-SUMIF(MovieFinancials!$G$2:$G$44,A9,MovieFinancials!$Q$2:$Q$44)</f>
        <v>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B451A74-F3AD-4799-AC03-3323C4C7DE2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MovieFinancials</vt:lpstr>
      <vt:lpstr>movies</vt:lpstr>
      <vt:lpstr>financials</vt:lpstr>
      <vt:lpstr>actors</vt:lpstr>
      <vt:lpstr>movie_actor</vt:lpstr>
      <vt:lpstr>languages</vt:lpstr>
      <vt:lpstr>Language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SACHIN D</cp:lastModifiedBy>
  <dcterms:created xsi:type="dcterms:W3CDTF">2015-06-05T18:17:20Z</dcterms:created>
  <dcterms:modified xsi:type="dcterms:W3CDTF">2026-10-07T13:42:14Z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